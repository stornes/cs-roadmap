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ised Roadmap" sheetId="1" state="visible" r:id="rId3"/>
    <sheet name="Backlog" sheetId="2" state="visible" r:id="rId4"/>
    <sheet name="Monthly Utilisation" sheetId="3" state="visible" r:id="rId5"/>
    <sheet name="Capacity &amp; Streams" sheetId="4" state="visible" r:id="rId6"/>
    <sheet name="Resource Alloc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<sst xmlns="http://schemas.openxmlformats.org/spreadsheetml/2006/main" count="692" uniqueCount="353">
  <si>
    <t xml:space="preserve">Customer Systems Roadmap H2 2026 — Prioritised</t>
  </si>
  <si>
    <t xml:space="preserve">Three streams. P1 = committed, P2 = planned/at-risk, P3 = backlog (deferred / needs decision). Built 6 Jun 2026.</t>
  </si>
  <si>
    <t xml:space="preserve">Stream</t>
  </si>
  <si>
    <t xml:space="preserve">Priority</t>
  </si>
  <si>
    <t xml:space="preserve">ID</t>
  </si>
  <si>
    <t xml:space="preserve">Initiative</t>
  </si>
  <si>
    <t xml:space="preserve">Horizon</t>
  </si>
  <si>
    <t xml:space="preserve">Lead / team</t>
  </si>
  <si>
    <t xml:space="preserve">FTE-q</t>
  </si>
  <si>
    <t xml:space="preserve">Status</t>
  </si>
  <si>
    <t xml:space="preserve">Dependency / note</t>
  </si>
  <si>
    <t xml:space="preserve">SF Sales &amp; Service Operations</t>
  </si>
  <si>
    <t xml:space="preserve">P1</t>
  </si>
  <si>
    <t xml:space="preserve">H2-11</t>
  </si>
  <si>
    <t xml:space="preserve">ARM – PG↔SF Person Account integration</t>
  </si>
  <si>
    <t xml:space="preserve">Q3 (Jul–Sep)</t>
  </si>
  <si>
    <t xml:space="preserve">Pawel + Miranda</t>
  </si>
  <si>
    <t xml:space="preserve">2.5</t>
  </si>
  <si>
    <t xml:space="preserve">Committed</t>
  </si>
  <si>
    <t xml:space="preserve">Gates Dedupe; PG-side delivery Aug–Sep</t>
  </si>
  <si>
    <t xml:space="preserve">H2-25</t>
  </si>
  <si>
    <t xml:space="preserve">Dedupe – SF master for person data</t>
  </si>
  <si>
    <t xml:space="preserve">Q3 (Sep–Oct, may slip Nov)</t>
  </si>
  <si>
    <t xml:space="preserve">Nataša + Miranda, Pawel assist</t>
  </si>
  <si>
    <t xml:space="preserve">Needs ARM; Oct absences</t>
  </si>
  <si>
    <t xml:space="preserve">H2-09</t>
  </si>
  <si>
    <t xml:space="preserve">Lighthouse Phase 2</t>
  </si>
  <si>
    <t xml:space="preserve">Q3 scope → Q4 full</t>
  </si>
  <si>
    <t xml:space="preserve">Miranda + Nataša + Arthur</t>
  </si>
  <si>
    <t xml:space="preserve">Needs scoped CX / Sales&amp;Service brief</t>
  </si>
  <si>
    <t xml:space="preserve">P2</t>
  </si>
  <si>
    <t xml:space="preserve">H2-26</t>
  </si>
  <si>
    <t xml:space="preserve">IROPS Incident Mgmt – finish</t>
  </si>
  <si>
    <t xml:space="preserve">Q4 (Pawel slack)</t>
  </si>
  <si>
    <t xml:space="preserve">Pawel</t>
  </si>
  <si>
    <t xml:space="preserve">0.5</t>
  </si>
  <si>
    <t xml:space="preserve">Negotiable</t>
  </si>
  <si>
    <t xml:space="preserve">~80% done; paused by Lighthouse</t>
  </si>
  <si>
    <t xml:space="preserve">H2-01</t>
  </si>
  <si>
    <t xml:space="preserve">B2B partner data ownership – scoping</t>
  </si>
  <si>
    <t xml:space="preserve">Pawel + PG</t>
  </si>
  <si>
    <t xml:space="preserve">1.5</t>
  </si>
  <si>
    <t xml:space="preserve">Negotiable · SteerCo</t>
  </si>
  <si>
    <t xml:space="preserve">Needs PG engage; impl 2027</t>
  </si>
  <si>
    <t xml:space="preserve">P3</t>
  </si>
  <si>
    <t xml:space="preserve">H2-30</t>
  </si>
  <si>
    <t xml:space="preserve">My Account – SF identity &amp; user mgmt</t>
  </si>
  <si>
    <t xml:space="preserve">2027</t>
  </si>
  <si>
    <t xml:space="preserve">SF S&amp;S</t>
  </si>
  <si>
    <t xml:space="preserve">2-3</t>
  </si>
  <si>
    <t xml:space="preserve">Deferred · CONFLICT (pinned Q3)</t>
  </si>
  <si>
    <t xml:space="preserve">Needs Dedupe done first</t>
  </si>
  <si>
    <t xml:space="preserve">H2-27</t>
  </si>
  <si>
    <t xml:space="preserve">Email-to-Case</t>
  </si>
  <si>
    <t xml:space="preserve">SF S&amp;S + business</t>
  </si>
  <si>
    <t xml:space="preserve">1-2</t>
  </si>
  <si>
    <t xml:space="preserve">Deferred</t>
  </si>
  <si>
    <t xml:space="preserve">Needs Dedupe + business resource</t>
  </si>
  <si>
    <t xml:space="preserve">H2-08</t>
  </si>
  <si>
    <t xml:space="preserve">Agentforce Quality Mgmt pilot</t>
  </si>
  <si>
    <t xml:space="preserve">SF S&amp;S + QA</t>
  </si>
  <si>
    <t xml:space="preserve">2.0</t>
  </si>
  <si>
    <t xml:space="preserve">Connect transcripts in SF</t>
  </si>
  <si>
    <t xml:space="preserve">M&amp;D-135</t>
  </si>
  <si>
    <t xml:space="preserve">Case Statuses in My Account</t>
  </si>
  <si>
    <t xml:space="preserve">1.0</t>
  </si>
  <si>
    <t xml:space="preserve">SF capacity + Dedupe</t>
  </si>
  <si>
    <t xml:space="preserve">H2-15</t>
  </si>
  <si>
    <t xml:space="preserve">CSC Sales &amp; Groups live reporting</t>
  </si>
  <si>
    <t xml:space="preserve">2027 (no Q3 slot)</t>
  </si>
  <si>
    <t xml:space="preserve">SF S&amp;S + Data Cloud</t>
  </si>
  <si>
    <t xml:space="preserve">Unscheduled</t>
  </si>
  <si>
    <t xml:space="preserve">SF has zero Q3 headroom</t>
  </si>
  <si>
    <t xml:space="preserve">SF Marketing &amp; Analytics Operations &amp; Enablement</t>
  </si>
  <si>
    <t xml:space="preserve">H2-18</t>
  </si>
  <si>
    <t xml:space="preserve">Travel Docs (DocForge → SFMC/Web)</t>
  </si>
  <si>
    <t xml:space="preserve">Q3 (Jul–Oct)</t>
  </si>
  <si>
    <t xml:space="preserve">Kev / DC</t>
  </si>
  <si>
    <t xml:space="preserve">3.0</t>
  </si>
  <si>
    <t xml:space="preserve">Committed (CRM side); backend-gated</t>
  </si>
  <si>
    <t xml:space="preserve">DocForge in BETA; Backend dep</t>
  </si>
  <si>
    <t xml:space="preserve">H2-17</t>
  </si>
  <si>
    <t xml:space="preserve">CRM Segmentation</t>
  </si>
  <si>
    <t xml:space="preserve">Q3–Q4 (Jul–Dec)</t>
  </si>
  <si>
    <t xml:space="preserve">CX briefs; pulls Data Engineer gap</t>
  </si>
  <si>
    <t xml:space="preserve">H2-16</t>
  </si>
  <si>
    <t xml:space="preserve">Review Platform (TrustPilot)</t>
  </si>
  <si>
    <t xml:space="preserve">Q3–Q4 (Jul–Nov)</t>
  </si>
  <si>
    <t xml:space="preserve">3.5</t>
  </si>
  <si>
    <t xml:space="preserve">Platform decision; Michelle ratify</t>
  </si>
  <si>
    <t xml:space="preserve">M&amp;D</t>
  </si>
  <si>
    <t xml:space="preserve">Compass CRM Reporting</t>
  </si>
  <si>
    <t xml:space="preserve">Jul–Dec</t>
  </si>
  <si>
    <t xml:space="preserve">Kev</t>
  </si>
  <si>
    <t xml:space="preserve">Committed (run)</t>
  </si>
  <si>
    <t xml:space="preserve">-</t>
  </si>
  <si>
    <t xml:space="preserve">Voice of Customer</t>
  </si>
  <si>
    <t xml:space="preserve">Jul–Sep</t>
  </si>
  <si>
    <t xml:space="preserve">Coordinator start vs Jennifer leave</t>
  </si>
  <si>
    <t xml:space="preserve">H2-07</t>
  </si>
  <si>
    <t xml:space="preserve">Marketing Consent + Double Opt-In</t>
  </si>
  <si>
    <t xml:space="preserve">Kev / SFMC (+SF S&amp;S)</t>
  </si>
  <si>
    <t xml:space="preserve">De-prioritised → 2027</t>
  </si>
  <si>
    <t xml:space="preserve">Cut to cap Kev at 3 FTE; SF S&amp;S said 2027 anyway</t>
  </si>
  <si>
    <t xml:space="preserve">H2-10</t>
  </si>
  <si>
    <t xml:space="preserve">Preference Centre (Web/Email)</t>
  </si>
  <si>
    <t xml:space="preserve">Kev / SFMC</t>
  </si>
  <si>
    <t xml:space="preserve">Cut to cap Kev at 3 FTE; needs H2-07</t>
  </si>
  <si>
    <t xml:space="preserve">H2-12</t>
  </si>
  <si>
    <t xml:space="preserve">AirPort Express Automation B2B</t>
  </si>
  <si>
    <t xml:space="preserve">Cut to cap Kev at 3 FTE</t>
  </si>
  <si>
    <t xml:space="preserve">VoC</t>
  </si>
  <si>
    <t xml:space="preserve">Support / Ops</t>
  </si>
  <si>
    <t xml:space="preserve">Committed (floor)</t>
  </si>
  <si>
    <t xml:space="preserve">~25% standing</t>
  </si>
  <si>
    <t xml:space="preserve">H2-13</t>
  </si>
  <si>
    <t xml:space="preserve">SF Comms Triggers (CCE)</t>
  </si>
  <si>
    <t xml:space="preserve">After consent substrate</t>
  </si>
  <si>
    <t xml:space="preserve">H2-14</t>
  </si>
  <si>
    <t xml:space="preserve">SF Data Support (mobile, DACH bug)</t>
  </si>
  <si>
    <t xml:space="preserve">Personalisation &amp; Customer Insights (later phases)</t>
  </si>
  <si>
    <t xml:space="preserve">TBD</t>
  </si>
  <si>
    <t xml:space="preserve">Backlog</t>
  </si>
  <si>
    <t xml:space="preserve">SF M&amp;A Ops support</t>
  </si>
  <si>
    <t xml:space="preserve">Booking Solutions</t>
  </si>
  <si>
    <t xml:space="preserve">H2-22</t>
  </si>
  <si>
    <t xml:space="preserve">Partner API v2</t>
  </si>
  <si>
    <t xml:space="preserve">Jul–Dec (locked)</t>
  </si>
  <si>
    <t xml:space="preserve">Jyhe + Lasse</t>
  </si>
  <si>
    <t xml:space="preserve">2.0/mo</t>
  </si>
  <si>
    <t xml:space="preserve">Jyhe + Lasse dedicated all year</t>
  </si>
  <si>
    <t xml:space="preserve">H2-21</t>
  </si>
  <si>
    <t xml:space="preserve">Bynder integration (Partner API)</t>
  </si>
  <si>
    <t xml:space="preserve">Aug</t>
  </si>
  <si>
    <t xml:space="preserve">Lasse</t>
  </si>
  <si>
    <t xml:space="preserve">Lasse drops Partner API in Aug for this</t>
  </si>
  <si>
    <t xml:space="preserve">H2-24</t>
  </si>
  <si>
    <t xml:space="preserve">Seaware production → OCI</t>
  </si>
  <si>
    <t xml:space="preserve">Aug effort</t>
  </si>
  <si>
    <t xml:space="preserve">Jonas + Øyvind</t>
  </si>
  <si>
    <t xml:space="preserve">Committed (per grid)</t>
  </si>
  <si>
    <t xml:space="preserve">OCI work in Aug; cutover window separate</t>
  </si>
  <si>
    <t xml:space="preserve">H2-23</t>
  </si>
  <si>
    <t xml:space="preserve">Commercial platform / PG BAU</t>
  </si>
  <si>
    <t xml:space="preserve">Darren/Erik/Halvor/Ove/Sylwester</t>
  </si>
  <si>
    <t xml:space="preserve">2.0/mo floor</t>
  </si>
  <si>
    <t xml:space="preserve">Committed (ops floor)</t>
  </si>
  <si>
    <t xml:space="preserve">Two green BAU lines = the ops draw</t>
  </si>
  <si>
    <t xml:space="preserve">B2X</t>
  </si>
  <si>
    <t xml:space="preserve">B2X Initiatives (backend support)</t>
  </si>
  <si>
    <t xml:space="preserve">Aug–Dec</t>
  </si>
  <si>
    <t xml:space="preserve">Sylwester</t>
  </si>
  <si>
    <t xml:space="preserve">1.0/mo</t>
  </si>
  <si>
    <t xml:space="preserve">Frontend/agent-portal backend support</t>
  </si>
  <si>
    <t xml:space="preserve">SFsup</t>
  </si>
  <si>
    <t xml:space="preserve">Salesforce initiative support</t>
  </si>
  <si>
    <t xml:space="preserve">Sep–Dec</t>
  </si>
  <si>
    <t xml:space="preserve">Erik</t>
  </si>
  <si>
    <t xml:space="preserve">Backend support to SF initiatives (ARM/API)</t>
  </si>
  <si>
    <t xml:space="preserve">H2-03</t>
  </si>
  <si>
    <t xml:space="preserve">Agent-portal for top CSC flows</t>
  </si>
  <si>
    <t xml:space="preserve">Jul + Sep</t>
  </si>
  <si>
    <t xml:space="preserve">In H2 (per grid)</t>
  </si>
  <si>
    <t xml:space="preserve">Now resourced — was 'needs decision'</t>
  </si>
  <si>
    <t xml:space="preserve">H2-20</t>
  </si>
  <si>
    <t xml:space="preserve">Commission on Tour elements</t>
  </si>
  <si>
    <t xml:space="preserve">Jul + Oct</t>
  </si>
  <si>
    <t xml:space="preserve">1+2</t>
  </si>
  <si>
    <t xml:space="preserve">Now resourced — was deferred 2027; scope still TBD</t>
  </si>
  <si>
    <t xml:space="preserve">H2-05</t>
  </si>
  <si>
    <t xml:space="preserve">SFS / Fidelio stabilisation</t>
  </si>
  <si>
    <t xml:space="preserve">Jonas + Kato</t>
  </si>
  <si>
    <t xml:space="preserve">Cut from Sep to bring Stream C within capacity</t>
  </si>
  <si>
    <t xml:space="preserve">WS3</t>
  </si>
  <si>
    <t xml:space="preserve">Switzerland → DACH market migration</t>
  </si>
  <si>
    <t xml:space="preserve">Darren</t>
  </si>
  <si>
    <t xml:space="preserve">No as-is/to-be analysis yet</t>
  </si>
  <si>
    <t xml:space="preserve">H2-06</t>
  </si>
  <si>
    <t xml:space="preserve">New payment methods (Apple/Google Pay, Vipps)</t>
  </si>
  <si>
    <t xml:space="preserve">Backend</t>
  </si>
  <si>
    <t xml:space="preserve">Not in grid — confirm</t>
  </si>
  <si>
    <t xml:space="preserve">'More or less ready'; not allocated in Jonas's grid</t>
  </si>
  <si>
    <t xml:space="preserve">DocumentForge (backend side)</t>
  </si>
  <si>
    <t xml:space="preserve">—</t>
  </si>
  <si>
    <t xml:space="preserve">Not resourced (backend)</t>
  </si>
  <si>
    <t xml:space="preserve">CRM side on Kev; backend not in grid</t>
  </si>
  <si>
    <t xml:space="preserve">H2-04</t>
  </si>
  <si>
    <t xml:space="preserve">Automate loading &amp; IROPS tasks</t>
  </si>
  <si>
    <t xml:space="preserve">Not in grid</t>
  </si>
  <si>
    <t xml:space="preserve">Customer Systems H2 2026 — Backlog (P3 / deferred / unscoped / not-planned)</t>
  </si>
  <si>
    <t xml:space="preserve">Items not committed in H2. Each needs a SteerCo / lead decision before it can be scheduled.</t>
  </si>
  <si>
    <t xml:space="preserve">Why not in H2</t>
  </si>
  <si>
    <t xml:space="preserve">Earliest realistic</t>
  </si>
  <si>
    <t xml:space="preserve">Decision owner</t>
  </si>
  <si>
    <t xml:space="preserve">My Account (SF identity)</t>
  </si>
  <si>
    <t xml:space="preserve">SF S&amp;S says needs Dedupe first; conflicts with Q3 pin</t>
  </si>
  <si>
    <t xml:space="preserve">Q1–Q2 2027</t>
  </si>
  <si>
    <t xml:space="preserve">Sverre + Sille + Digital Products</t>
  </si>
  <si>
    <t xml:space="preserve">Needs Dedupe complete + business resource</t>
  </si>
  <si>
    <t xml:space="preserve">IT/OT + business</t>
  </si>
  <si>
    <t xml:space="preserve">Agentforce QM pilot</t>
  </si>
  <si>
    <t xml:space="preserve">Post-Lighthouse capacity; needs Connect transcripts</t>
  </si>
  <si>
    <t xml:space="preserve">Q1 2027</t>
  </si>
  <si>
    <t xml:space="preserve">SF capacity; needs Dedupe</t>
  </si>
  <si>
    <t xml:space="preserve">Zero SF Q3 headroom</t>
  </si>
  <si>
    <t xml:space="preserve">Sverre + Sille</t>
  </si>
  <si>
    <t xml:space="preserve">Kev + CX</t>
  </si>
  <si>
    <t xml:space="preserve">Levelled for capacity</t>
  </si>
  <si>
    <t xml:space="preserve">Q2 2027</t>
  </si>
  <si>
    <t xml:space="preserve">Personalisation / Customer Insights later phases</t>
  </si>
  <si>
    <t xml:space="preserve">SF M&amp;A Ops fully loaded</t>
  </si>
  <si>
    <t xml:space="preserve">Lighthouse 2 (from CRM view)</t>
  </si>
  <si>
    <t xml:space="preserve">No CRM capacity — owned by SF S&amp;S instead</t>
  </si>
  <si>
    <t xml:space="preserve">n/a (Stream A)</t>
  </si>
  <si>
    <t xml:space="preserve">Sille</t>
  </si>
  <si>
    <t xml:space="preserve">B2B Data Ownership downstream</t>
  </si>
  <si>
    <t xml:space="preserve">No CRM capacity</t>
  </si>
  <si>
    <t xml:space="preserve">Kev + Commercial</t>
  </si>
  <si>
    <t xml:space="preserve">Commercial NorthStar Groups Ops Report</t>
  </si>
  <si>
    <t xml:space="preserve">Kev + Andrew</t>
  </si>
  <si>
    <t xml:space="preserve">Brochure Fulfilment Automation</t>
  </si>
  <si>
    <t xml:space="preserve">New payment methods</t>
  </si>
  <si>
    <t xml:space="preserve">'More or less ready' but not allocated in Jonas's grid</t>
  </si>
  <si>
    <t xml:space="preserve">Confirm</t>
  </si>
  <si>
    <t xml:space="preserve">Jonas</t>
  </si>
  <si>
    <t xml:space="preserve">Not resourced in grid; CRM side on Kev</t>
  </si>
  <si>
    <t xml:space="preserve">Jonas + Kev</t>
  </si>
  <si>
    <t xml:space="preserve">Not resourced in grid</t>
  </si>
  <si>
    <t xml:space="preserve">WS4/5</t>
  </si>
  <si>
    <t xml:space="preserve">NorthStar Groups / T&amp;Cs (business-led)</t>
  </si>
  <si>
    <t xml:space="preserve">Tracked under Commercial workstreams</t>
  </si>
  <si>
    <t xml:space="preserve">In flight (business)</t>
  </si>
  <si>
    <t xml:space="preserve">Andrew / Karoline</t>
  </si>
  <si>
    <t xml:space="preserve">Customer Systems H2 2026 — Monthly Work Utilisation (FTE / month)</t>
  </si>
  <si>
    <t xml:space="preserve">July = Norwegian holiday (no delivery). Plan runs Aug–Dec. Stream A re-flowed; B &amp; C July load to be re-planned with leads. Green ≤ capacity, red = over.</t>
  </si>
  <si>
    <t xml:space="preserve">Stream A — SF Sales &amp; Service Operations  (lead Sille Antonsen)</t>
  </si>
  <si>
    <t xml:space="preserve">Activity</t>
  </si>
  <si>
    <t xml:space="preserve">Jul</t>
  </si>
  <si>
    <t xml:space="preserve">Sep</t>
  </si>
  <si>
    <t xml:space="preserve">Oct</t>
  </si>
  <si>
    <t xml:space="preserve">Nov</t>
  </si>
  <si>
    <t xml:space="preserve">Dec</t>
  </si>
  <si>
    <t xml:space="preserve">ARM (H2-11)</t>
  </si>
  <si>
    <t xml:space="preserve">Dedupe (H2-25)</t>
  </si>
  <si>
    <t xml:space="preserve">Lighthouse Ph2 (H2-09)</t>
  </si>
  <si>
    <t xml:space="preserve">IROPS + B2B scoping</t>
  </si>
  <si>
    <t xml:space="preserve">Total utilised</t>
  </si>
  <si>
    <t xml:space="preserve">Capacity (project)</t>
  </si>
  <si>
    <t xml:space="preserve">Headroom (cap − used)</t>
  </si>
  <si>
    <t xml:space="preserve">Stream B — SF Marketing &amp; Analytics Operations &amp; Enablement  (lead Kev Gaisford)</t>
  </si>
  <si>
    <t xml:space="preserve">Travel Docs (H2-18)</t>
  </si>
  <si>
    <t xml:space="preserve">CRM Segmentation (H2-17)</t>
  </si>
  <si>
    <t xml:space="preserve">TrustPilot (H2-16)</t>
  </si>
  <si>
    <t xml:space="preserve">ARM/Dedupe DC assist (trimmed)</t>
  </si>
  <si>
    <t xml:space="preserve">Stream C — Booking Solutions  (lead Jonas Roineslien)</t>
  </si>
  <si>
    <t xml:space="preserve">Partner API (H2-22) · Jyhe+Lasse</t>
  </si>
  <si>
    <t xml:space="preserve">Bynder (H2-21) · Lasse</t>
  </si>
  <si>
    <t xml:space="preserve">Seaware → OCI (H2-24) · Jonas+Øyvind</t>
  </si>
  <si>
    <t xml:space="preserve">Agent portal (H2-03) · Erik</t>
  </si>
  <si>
    <t xml:space="preserve">B2X Initiatives · Sylwester</t>
  </si>
  <si>
    <t xml:space="preserve">SF initiative support · Erik</t>
  </si>
  <si>
    <t xml:space="preserve">Commission (H2-20) · Sylwester</t>
  </si>
  <si>
    <t xml:space="preserve">Swiss market migration · Darren</t>
  </si>
  <si>
    <t xml:space="preserve">Stream capacity &amp; ownership</t>
  </si>
  <si>
    <t xml:space="preserve">Org team / stream</t>
  </si>
  <si>
    <t xml:space="preserve">Lead (on top, excluded)</t>
  </si>
  <si>
    <t xml:space="preserve">Delivery ICs</t>
  </si>
  <si>
    <t xml:space="preserve">Project capacity</t>
  </si>
  <si>
    <t xml:space="preserve">Position</t>
  </si>
  <si>
    <t xml:space="preserve">A · Sales &amp; Service Operations</t>
  </si>
  <si>
    <t xml:space="preserve">Head of Sales &amp; Service Ops (Sille) + Alexander Røstum (chapter)</t>
  </si>
  <si>
    <t xml:space="preserve">Pawel, Nataša, Miranda, Arthur (SF Solution Specialist / Admin / Sr SF Dev roles)</t>
  </si>
  <si>
    <t xml:space="preserve">1.8 FTE Jul–Aug; 2.4 Sep–Dec</t>
  </si>
  <si>
    <t xml:space="preserve">3 commitments (ARM, Dedupe, Lighthouse Ph2); 40% BaU+OnCall floor. Holds the core SF delivery roster.</t>
  </si>
  <si>
    <t xml:space="preserve">B · Marketing &amp; Analytics Operations &amp; Enablement</t>
  </si>
  <si>
    <t xml:space="preserve">Head of Marketing &amp; Analytics (Kev) — no direct reports in org</t>
  </si>
  <si>
    <t xml:space="preserve">Kev + Guljar + Ismail</t>
  </si>
  <si>
    <t xml:space="preserve">~3.0 FTE (workload capped)</t>
  </si>
  <si>
    <t xml:space="preserve">Workload capped at 3 FTE/mo; now within capacity. Consent, Preference Centre, AirPort Express and Voice of Customer de-prioritised to 2027 to fit. A dedicated Data Engineer would restore that scope.</t>
  </si>
  <si>
    <t xml:space="preserve">C · Booking Solutions (incl. Platform)</t>
  </si>
  <si>
    <t xml:space="preserve">Principal Eng Mgr Booking (Jonas) + Kato (chapter) — both also deliver hands-on</t>
  </si>
  <si>
    <t xml:space="preserve">Jyhe, Lasse, Erik, Darren, Halvor, Ove 50%, Sylwester, Øyvind + Kirill QA (+ Jonas/Kato on OCI &amp; SFS)</t>
  </si>
  <si>
    <t xml:space="preserve">~5.0 project FTE/mo (per Jonas grid; BaU floor 2.0 excluded)</t>
  </si>
  <si>
    <t xml:space="preserve">Levelled to within capacity (at/under 5.0 every month). SFS/Fidelio de-prioritised to 2027; Swiss moved to Nov; Commission split Oct/Dec. Partner API locked (Jyhe+Lasse). Platform folded in. VAT/payments/DocForge on separate boards.</t>
  </si>
  <si>
    <t xml:space="preserve">PMO · Program Coordinator</t>
  </si>
  <si>
    <t xml:space="preserve">— (across all streams)</t>
  </si>
  <si>
    <t xml:space="preserve">Program Coordinator (demand process, roadmap cadence)</t>
  </si>
  <si>
    <t xml:space="preserve">Coordination, not delivery FTE</t>
  </si>
  <si>
    <t xml:space="preserve">Owns demand intake, weekly/quarterly cadence, roadmap reporting. Sits across streams; not counted in any FTE pool.</t>
  </si>
  <si>
    <t xml:space="preserve">Cross-stream conflicts to resolve: My Account timing (A: 2027 vs pinned Q3); Consent/Pref Centre (B plans Nov–Dec but needs A commitment, A says 2027); ARM ownership overlap (A vs B DC assist); SteerCo capacity expectation (only B2B scoping sits with A). See companion roadmap doc.</t>
  </si>
  <si>
    <t xml:space="preserve">Customer Systems H2 2026 — Resource Allocation by person (monthly)</t>
  </si>
  <si>
    <t xml:space="preserve">Cells = primary activity (FTE). Stream A from Sille's swim-lane; Stream C partly from Jonas's canvas; Stream B + remaining C are INDICATIVE — confirm with leads.</t>
  </si>
  <si>
    <t xml:space="preserve">Stream A — SF Sales &amp; Service Operations</t>
  </si>
  <si>
    <t xml:space="preserve">Person / role</t>
  </si>
  <si>
    <t xml:space="preserve">Pawel · SF dev</t>
  </si>
  <si>
    <t xml:space="preserve">holiday</t>
  </si>
  <si>
    <t xml:space="preserve">ARM (0.6)</t>
  </si>
  <si>
    <t xml:space="preserve">ARM close (0.6)</t>
  </si>
  <si>
    <t xml:space="preserve">Dedupe assist (0.6)</t>
  </si>
  <si>
    <t xml:space="preserve">IROPS/B2B negot. (0.6)</t>
  </si>
  <si>
    <t xml:space="preserve">Nataša · SF dev</t>
  </si>
  <si>
    <t xml:space="preserve">Ph2 prep/scoping (0.6)</t>
  </si>
  <si>
    <t xml:space="preserve">Dedupe lead (0.6)</t>
  </si>
  <si>
    <t xml:space="preserve">Ph2 (0.6)</t>
  </si>
  <si>
    <t xml:space="preserve">Miranda · Tech lead</t>
  </si>
  <si>
    <t xml:space="preserve">ARM assist + Ph2 (0.6)</t>
  </si>
  <si>
    <t xml:space="preserve">ARM close + Ph2 (0.6)</t>
  </si>
  <si>
    <t xml:space="preserve">Dedupe + Ph2 (0.6)</t>
  </si>
  <si>
    <t xml:space="preserve">Arthur · SF dev</t>
  </si>
  <si>
    <t xml:space="preserve">— out (holiday)</t>
  </si>
  <si>
    <t xml:space="preserve">Ph2 delivery (back) (0.6)</t>
  </si>
  <si>
    <t xml:space="preserve">Ph2 delivery (0.6)</t>
  </si>
  <si>
    <t xml:space="preserve">BaU + On-Call · rotated floor</t>
  </si>
  <si>
    <t xml:space="preserve">0.6</t>
  </si>
  <si>
    <t xml:space="preserve">0.8</t>
  </si>
  <si>
    <t xml:space="preserve">Stream B — SF Marketing &amp; Analytics Operations &amp; Enablement</t>
  </si>
  <si>
    <t xml:space="preserve">Guljar · Data Specialist</t>
  </si>
  <si>
    <t xml:space="preserve">Seg + DC assist (1.0)</t>
  </si>
  <si>
    <t xml:space="preserve">DC assist ARM/Dedupe (1.0)</t>
  </si>
  <si>
    <t xml:space="preserve">DC assist (1.0)</t>
  </si>
  <si>
    <t xml:space="preserve">DC assist + Seg (1.0)</t>
  </si>
  <si>
    <t xml:space="preserve">Segmentation (1.0)</t>
  </si>
  <si>
    <t xml:space="preserve">Ismail · Sr SFMC dev</t>
  </si>
  <si>
    <t xml:space="preserve">Travel Docs + TrustPilot (1.0)</t>
  </si>
  <si>
    <t xml:space="preserve">Travel Docs (0.75)</t>
  </si>
  <si>
    <t xml:space="preserve">TrustPilot (0.75)</t>
  </si>
  <si>
    <t xml:space="preserve">Support (0.5)</t>
  </si>
  <si>
    <t xml:space="preserve">Kev · Lead (+ PO time back)</t>
  </si>
  <si>
    <t xml:space="preserve">Compass + Support (0.75)</t>
  </si>
  <si>
    <t xml:space="preserve">De-prioritised → 2027 · Consent · Pref Centre · AirPort · VoC</t>
  </si>
  <si>
    <t xml:space="preserve">Stream C — Booking Solutions</t>
  </si>
  <si>
    <t xml:space="preserve">Jyhe · Partner API · Sr Backend · LOCKED</t>
  </si>
  <si>
    <t xml:space="preserve">Lasse · Partner API / Bynder · Backend · LOCKED</t>
  </si>
  <si>
    <t xml:space="preserve">Bynder 1.0</t>
  </si>
  <si>
    <t xml:space="preserve">Jonas · Seaware OCI · Platform lead (hands-on)</t>
  </si>
  <si>
    <t xml:space="preserve">OCI 1.0</t>
  </si>
  <si>
    <t xml:space="preserve">Øyvind · Seaware OCI · Backend / Infra</t>
  </si>
  <si>
    <t xml:space="preserve">Erik · Agent portal / SF support · Sr Backend</t>
  </si>
  <si>
    <t xml:space="preserve">Agent portal 1.0</t>
  </si>
  <si>
    <t xml:space="preserve">SF support 1.0</t>
  </si>
  <si>
    <t xml:space="preserve">Darren · Swiss migration · Sr Backend</t>
  </si>
  <si>
    <t xml:space="preserve">Swiss 1.0</t>
  </si>
  <si>
    <t xml:space="preserve">Sylwester · Commission / B2X · Backend</t>
  </si>
  <si>
    <t xml:space="preserve">B2X 1.0</t>
  </si>
  <si>
    <t xml:space="preserve">Commission 1.0 + B2X 1.0</t>
  </si>
  <si>
    <t xml:space="preserve">Halvor / Ove (50%) · Sr Backend</t>
  </si>
  <si>
    <t xml:space="preserve">BaU / platform</t>
  </si>
  <si>
    <t xml:space="preserve">Kirill · QA · Test Specialist</t>
  </si>
  <si>
    <t xml:space="preserve">Test across</t>
  </si>
  <si>
    <t xml:space="preserve">Platform + PG/Platform BAU · ops floor (green)</t>
  </si>
  <si>
    <t xml:space="preserve">De-prioritised → 2027 · SFS / Fidelio (was Sep)</t>
  </si>
  <si>
    <t xml:space="preserve">Net capacity (levelled) · spare(+) / over(−)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</si>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</sst>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C0006"/>
      <name val="Arial"/>
      <family val="0"/>
      <charset val="1"/>
    </font>
    <font>
      <sz val="8.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BE5F1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CE4D6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BE5F1"/>
      </patternFill>
    </fill>
    <fill>
      <patternFill patternType="solid">
        <fgColor rgb="FFD9D9D9"/>
        <bgColor rgb="FFDBE5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2EFDA"/>
      <rgbColor rgb="FFDBE5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7"/>
    <col collapsed="false" customWidth="true" hidden="false" outlineLevel="0" max="8" min="8" style="0" width="24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7" t="s">
        <v>18</v>
      </c>
      <c r="I5" s="6" t="s">
        <v>19</v>
      </c>
    </row>
    <row r="6" customFormat="false" ht="22.35" hidden="false" customHeight="false" outlineLevel="0" collapsed="false">
      <c r="A6" s="4" t="s">
        <v>11</v>
      </c>
      <c r="B6" s="5" t="s">
        <v>12</v>
      </c>
      <c r="C6" s="6" t="s">
        <v>20</v>
      </c>
      <c r="D6" s="6" t="s">
        <v>21</v>
      </c>
      <c r="E6" s="6" t="s">
        <v>22</v>
      </c>
      <c r="F6" s="6" t="s">
        <v>23</v>
      </c>
      <c r="G6" s="6" t="s">
        <v>17</v>
      </c>
      <c r="H6" s="7" t="s">
        <v>18</v>
      </c>
      <c r="I6" s="6" t="s">
        <v>24</v>
      </c>
    </row>
    <row r="7" customFormat="false" ht="15" hidden="false" customHeight="false" outlineLevel="0" collapsed="false">
      <c r="A7" s="4" t="s">
        <v>11</v>
      </c>
      <c r="B7" s="5" t="s">
        <v>12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17</v>
      </c>
      <c r="H7" s="7" t="s">
        <v>18</v>
      </c>
      <c r="I7" s="6" t="s">
        <v>29</v>
      </c>
    </row>
    <row r="8" customFormat="false" ht="15" hidden="false" customHeight="false" outlineLevel="0" collapsed="false">
      <c r="A8" s="4" t="s">
        <v>11</v>
      </c>
      <c r="B8" s="8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9" t="s">
        <v>36</v>
      </c>
      <c r="I8" s="6" t="s">
        <v>37</v>
      </c>
    </row>
    <row r="9" customFormat="false" ht="15" hidden="false" customHeight="false" outlineLevel="0" collapsed="false">
      <c r="A9" s="4" t="s">
        <v>11</v>
      </c>
      <c r="B9" s="8" t="s">
        <v>30</v>
      </c>
      <c r="C9" s="6" t="s">
        <v>38</v>
      </c>
      <c r="D9" s="6" t="s">
        <v>39</v>
      </c>
      <c r="E9" s="6" t="s">
        <v>33</v>
      </c>
      <c r="F9" s="6" t="s">
        <v>40</v>
      </c>
      <c r="G9" s="6" t="s">
        <v>41</v>
      </c>
      <c r="H9" s="9" t="s">
        <v>42</v>
      </c>
      <c r="I9" s="6" t="s">
        <v>43</v>
      </c>
    </row>
    <row r="10" customFormat="false" ht="22.35" hidden="false" customHeight="false" outlineLevel="0" collapsed="false">
      <c r="A10" s="4" t="s">
        <v>11</v>
      </c>
      <c r="B10" s="10" t="s">
        <v>44</v>
      </c>
      <c r="C10" s="6" t="s">
        <v>45</v>
      </c>
      <c r="D10" s="6" t="s">
        <v>46</v>
      </c>
      <c r="E10" s="6" t="s">
        <v>47</v>
      </c>
      <c r="F10" s="6" t="s">
        <v>48</v>
      </c>
      <c r="G10" s="6" t="s">
        <v>49</v>
      </c>
      <c r="H10" s="11" t="s">
        <v>50</v>
      </c>
      <c r="I10" s="6" t="s">
        <v>51</v>
      </c>
    </row>
    <row r="11" customFormat="false" ht="15" hidden="false" customHeight="false" outlineLevel="0" collapsed="false">
      <c r="A11" s="4" t="s">
        <v>11</v>
      </c>
      <c r="B11" s="10" t="s">
        <v>44</v>
      </c>
      <c r="C11" s="6" t="s">
        <v>52</v>
      </c>
      <c r="D11" s="6" t="s">
        <v>53</v>
      </c>
      <c r="E11" s="6" t="s">
        <v>47</v>
      </c>
      <c r="F11" s="6" t="s">
        <v>54</v>
      </c>
      <c r="G11" s="6" t="s">
        <v>55</v>
      </c>
      <c r="H11" s="9" t="s">
        <v>56</v>
      </c>
      <c r="I11" s="6" t="s">
        <v>57</v>
      </c>
    </row>
    <row r="12" customFormat="false" ht="15" hidden="false" customHeight="false" outlineLevel="0" collapsed="false">
      <c r="A12" s="4" t="s">
        <v>11</v>
      </c>
      <c r="B12" s="10" t="s">
        <v>44</v>
      </c>
      <c r="C12" s="6" t="s">
        <v>58</v>
      </c>
      <c r="D12" s="6" t="s">
        <v>59</v>
      </c>
      <c r="E12" s="6" t="s">
        <v>47</v>
      </c>
      <c r="F12" s="6" t="s">
        <v>60</v>
      </c>
      <c r="G12" s="6" t="s">
        <v>61</v>
      </c>
      <c r="H12" s="9" t="s">
        <v>56</v>
      </c>
      <c r="I12" s="6" t="s">
        <v>62</v>
      </c>
    </row>
    <row r="13" customFormat="false" ht="15" hidden="false" customHeight="false" outlineLevel="0" collapsed="false">
      <c r="A13" s="4" t="s">
        <v>11</v>
      </c>
      <c r="B13" s="10" t="s">
        <v>44</v>
      </c>
      <c r="C13" s="6" t="s">
        <v>63</v>
      </c>
      <c r="D13" s="6" t="s">
        <v>64</v>
      </c>
      <c r="E13" s="6" t="s">
        <v>47</v>
      </c>
      <c r="F13" s="6" t="s">
        <v>48</v>
      </c>
      <c r="G13" s="6" t="s">
        <v>65</v>
      </c>
      <c r="H13" s="9" t="s">
        <v>56</v>
      </c>
      <c r="I13" s="6" t="s">
        <v>66</v>
      </c>
    </row>
    <row r="14" customFormat="false" ht="15" hidden="false" customHeight="false" outlineLevel="0" collapsed="false">
      <c r="A14" s="4" t="s">
        <v>11</v>
      </c>
      <c r="B14" s="10" t="s">
        <v>44</v>
      </c>
      <c r="C14" s="6" t="s">
        <v>67</v>
      </c>
      <c r="D14" s="6" t="s">
        <v>68</v>
      </c>
      <c r="E14" s="6" t="s">
        <v>69</v>
      </c>
      <c r="F14" s="6" t="s">
        <v>70</v>
      </c>
      <c r="G14" s="6" t="s">
        <v>41</v>
      </c>
      <c r="H14" s="11" t="s">
        <v>71</v>
      </c>
      <c r="I14" s="6" t="s">
        <v>72</v>
      </c>
    </row>
    <row r="15" customFormat="false" ht="22.35" hidden="false" customHeight="false" outlineLevel="0" collapsed="false">
      <c r="A15" s="12" t="s">
        <v>73</v>
      </c>
      <c r="B15" s="5" t="s">
        <v>12</v>
      </c>
      <c r="C15" s="6" t="s">
        <v>74</v>
      </c>
      <c r="D15" s="6" t="s">
        <v>75</v>
      </c>
      <c r="E15" s="6" t="s">
        <v>76</v>
      </c>
      <c r="F15" s="6" t="s">
        <v>77</v>
      </c>
      <c r="G15" s="6" t="s">
        <v>78</v>
      </c>
      <c r="H15" s="7" t="s">
        <v>79</v>
      </c>
      <c r="I15" s="6" t="s">
        <v>80</v>
      </c>
    </row>
    <row r="16" customFormat="false" ht="22.35" hidden="false" customHeight="false" outlineLevel="0" collapsed="false">
      <c r="A16" s="12" t="s">
        <v>73</v>
      </c>
      <c r="B16" s="5" t="s">
        <v>12</v>
      </c>
      <c r="C16" s="6" t="s">
        <v>81</v>
      </c>
      <c r="D16" s="6" t="s">
        <v>82</v>
      </c>
      <c r="E16" s="6" t="s">
        <v>83</v>
      </c>
      <c r="F16" s="6" t="s">
        <v>77</v>
      </c>
      <c r="G16" s="6" t="s">
        <v>17</v>
      </c>
      <c r="H16" s="7" t="s">
        <v>18</v>
      </c>
      <c r="I16" s="6" t="s">
        <v>84</v>
      </c>
    </row>
    <row r="17" customFormat="false" ht="22.35" hidden="false" customHeight="false" outlineLevel="0" collapsed="false">
      <c r="A17" s="12" t="s">
        <v>73</v>
      </c>
      <c r="B17" s="5" t="s">
        <v>12</v>
      </c>
      <c r="C17" s="6" t="s">
        <v>85</v>
      </c>
      <c r="D17" s="6" t="s">
        <v>86</v>
      </c>
      <c r="E17" s="6" t="s">
        <v>87</v>
      </c>
      <c r="F17" s="6" t="s">
        <v>77</v>
      </c>
      <c r="G17" s="6" t="s">
        <v>88</v>
      </c>
      <c r="H17" s="7" t="s">
        <v>18</v>
      </c>
      <c r="I17" s="6" t="s">
        <v>89</v>
      </c>
    </row>
    <row r="18" customFormat="false" ht="22.35" hidden="false" customHeight="false" outlineLevel="0" collapsed="false">
      <c r="A18" s="12" t="s">
        <v>73</v>
      </c>
      <c r="B18" s="5" t="s">
        <v>12</v>
      </c>
      <c r="C18" s="6" t="s">
        <v>90</v>
      </c>
      <c r="D18" s="6" t="s">
        <v>91</v>
      </c>
      <c r="E18" s="6" t="s">
        <v>92</v>
      </c>
      <c r="F18" s="6" t="s">
        <v>93</v>
      </c>
      <c r="G18" s="6" t="s">
        <v>41</v>
      </c>
      <c r="H18" s="7" t="s">
        <v>94</v>
      </c>
      <c r="I18" s="6" t="s">
        <v>95</v>
      </c>
    </row>
    <row r="19" customFormat="false" ht="22.35" hidden="false" customHeight="false" outlineLevel="0" collapsed="false">
      <c r="A19" s="12" t="s">
        <v>73</v>
      </c>
      <c r="B19" s="5" t="s">
        <v>12</v>
      </c>
      <c r="C19" s="6" t="s">
        <v>90</v>
      </c>
      <c r="D19" s="6" t="s">
        <v>96</v>
      </c>
      <c r="E19" s="6" t="s">
        <v>97</v>
      </c>
      <c r="F19" s="6" t="s">
        <v>93</v>
      </c>
      <c r="G19" s="6" t="s">
        <v>41</v>
      </c>
      <c r="H19" s="7" t="s">
        <v>18</v>
      </c>
      <c r="I19" s="6" t="s">
        <v>98</v>
      </c>
    </row>
    <row r="20" customFormat="false" ht="22.35" hidden="false" customHeight="false" outlineLevel="0" collapsed="false">
      <c r="A20" s="12" t="s">
        <v>73</v>
      </c>
      <c r="B20" s="10" t="s">
        <v>44</v>
      </c>
      <c r="C20" s="6" t="s">
        <v>99</v>
      </c>
      <c r="D20" s="6" t="s">
        <v>100</v>
      </c>
      <c r="E20" s="6" t="s">
        <v>47</v>
      </c>
      <c r="F20" s="6" t="s">
        <v>101</v>
      </c>
      <c r="G20" s="6" t="s">
        <v>41</v>
      </c>
      <c r="H20" s="6" t="s">
        <v>102</v>
      </c>
      <c r="I20" s="6" t="s">
        <v>103</v>
      </c>
    </row>
    <row r="21" customFormat="false" ht="22.35" hidden="false" customHeight="false" outlineLevel="0" collapsed="false">
      <c r="A21" s="12" t="s">
        <v>73</v>
      </c>
      <c r="B21" s="10" t="s">
        <v>44</v>
      </c>
      <c r="C21" s="6" t="s">
        <v>104</v>
      </c>
      <c r="D21" s="6" t="s">
        <v>105</v>
      </c>
      <c r="E21" s="6" t="s">
        <v>47</v>
      </c>
      <c r="F21" s="6" t="s">
        <v>106</v>
      </c>
      <c r="G21" s="6" t="s">
        <v>65</v>
      </c>
      <c r="H21" s="6" t="s">
        <v>102</v>
      </c>
      <c r="I21" s="6" t="s">
        <v>107</v>
      </c>
    </row>
    <row r="22" customFormat="false" ht="22.35" hidden="false" customHeight="false" outlineLevel="0" collapsed="false">
      <c r="A22" s="12" t="s">
        <v>73</v>
      </c>
      <c r="B22" s="10" t="s">
        <v>44</v>
      </c>
      <c r="C22" s="6" t="s">
        <v>108</v>
      </c>
      <c r="D22" s="6" t="s">
        <v>109</v>
      </c>
      <c r="E22" s="6" t="s">
        <v>47</v>
      </c>
      <c r="F22" s="6" t="s">
        <v>106</v>
      </c>
      <c r="G22" s="6" t="s">
        <v>65</v>
      </c>
      <c r="H22" s="6" t="s">
        <v>102</v>
      </c>
      <c r="I22" s="6" t="s">
        <v>110</v>
      </c>
    </row>
    <row r="23" customFormat="false" ht="22.35" hidden="false" customHeight="false" outlineLevel="0" collapsed="false">
      <c r="A23" s="12" t="s">
        <v>73</v>
      </c>
      <c r="B23" s="10" t="s">
        <v>44</v>
      </c>
      <c r="C23" s="6" t="s">
        <v>111</v>
      </c>
      <c r="D23" s="6" t="s">
        <v>96</v>
      </c>
      <c r="E23" s="6" t="s">
        <v>47</v>
      </c>
      <c r="F23" s="6" t="s">
        <v>93</v>
      </c>
      <c r="G23" s="6" t="s">
        <v>35</v>
      </c>
      <c r="H23" s="6" t="s">
        <v>102</v>
      </c>
      <c r="I23" s="6" t="s">
        <v>110</v>
      </c>
    </row>
    <row r="24" customFormat="false" ht="22.35" hidden="false" customHeight="false" outlineLevel="0" collapsed="false">
      <c r="A24" s="12" t="s">
        <v>73</v>
      </c>
      <c r="B24" s="5" t="s">
        <v>12</v>
      </c>
      <c r="C24" s="6" t="s">
        <v>90</v>
      </c>
      <c r="D24" s="6" t="s">
        <v>112</v>
      </c>
      <c r="E24" s="6" t="s">
        <v>92</v>
      </c>
      <c r="F24" s="6" t="s">
        <v>93</v>
      </c>
      <c r="G24" s="6" t="s">
        <v>78</v>
      </c>
      <c r="H24" s="7" t="s">
        <v>113</v>
      </c>
      <c r="I24" s="6" t="s">
        <v>114</v>
      </c>
    </row>
    <row r="25" customFormat="false" ht="22.35" hidden="false" customHeight="false" outlineLevel="0" collapsed="false">
      <c r="A25" s="12" t="s">
        <v>73</v>
      </c>
      <c r="B25" s="10" t="s">
        <v>44</v>
      </c>
      <c r="C25" s="6" t="s">
        <v>115</v>
      </c>
      <c r="D25" s="6" t="s">
        <v>116</v>
      </c>
      <c r="E25" s="6" t="s">
        <v>47</v>
      </c>
      <c r="F25" s="6" t="s">
        <v>106</v>
      </c>
      <c r="G25" s="6" t="s">
        <v>41</v>
      </c>
      <c r="H25" s="9" t="s">
        <v>56</v>
      </c>
      <c r="I25" s="6" t="s">
        <v>117</v>
      </c>
    </row>
    <row r="26" customFormat="false" ht="22.35" hidden="false" customHeight="false" outlineLevel="0" collapsed="false">
      <c r="A26" s="12" t="s">
        <v>73</v>
      </c>
      <c r="B26" s="10" t="s">
        <v>44</v>
      </c>
      <c r="C26" s="6" t="s">
        <v>118</v>
      </c>
      <c r="D26" s="6" t="s">
        <v>119</v>
      </c>
      <c r="E26" s="6" t="s">
        <v>47</v>
      </c>
      <c r="F26" s="6" t="s">
        <v>106</v>
      </c>
      <c r="G26" s="6" t="s">
        <v>65</v>
      </c>
      <c r="H26" s="9" t="s">
        <v>56</v>
      </c>
      <c r="I26" s="6" t="s">
        <v>95</v>
      </c>
    </row>
    <row r="27" customFormat="false" ht="22.35" hidden="false" customHeight="false" outlineLevel="0" collapsed="false">
      <c r="A27" s="12" t="s">
        <v>73</v>
      </c>
      <c r="B27" s="10" t="s">
        <v>44</v>
      </c>
      <c r="C27" s="6" t="s">
        <v>90</v>
      </c>
      <c r="D27" s="6" t="s">
        <v>120</v>
      </c>
      <c r="E27" s="6" t="s">
        <v>47</v>
      </c>
      <c r="F27" s="6" t="s">
        <v>77</v>
      </c>
      <c r="G27" s="6" t="s">
        <v>121</v>
      </c>
      <c r="H27" s="9" t="s">
        <v>122</v>
      </c>
      <c r="I27" s="6" t="s">
        <v>123</v>
      </c>
    </row>
    <row r="28" customFormat="false" ht="15" hidden="false" customHeight="false" outlineLevel="0" collapsed="false">
      <c r="A28" s="13" t="s">
        <v>124</v>
      </c>
      <c r="B28" s="5" t="s">
        <v>12</v>
      </c>
      <c r="C28" s="6" t="s">
        <v>125</v>
      </c>
      <c r="D28" s="6" t="s">
        <v>126</v>
      </c>
      <c r="E28" s="6" t="s">
        <v>127</v>
      </c>
      <c r="F28" s="6" t="s">
        <v>128</v>
      </c>
      <c r="G28" s="6" t="s">
        <v>129</v>
      </c>
      <c r="H28" s="7" t="s">
        <v>18</v>
      </c>
      <c r="I28" s="6" t="s">
        <v>130</v>
      </c>
    </row>
    <row r="29" customFormat="false" ht="15" hidden="false" customHeight="false" outlineLevel="0" collapsed="false">
      <c r="A29" s="13" t="s">
        <v>124</v>
      </c>
      <c r="B29" s="5" t="s">
        <v>12</v>
      </c>
      <c r="C29" s="6" t="s">
        <v>131</v>
      </c>
      <c r="D29" s="6" t="s">
        <v>132</v>
      </c>
      <c r="E29" s="6" t="s">
        <v>133</v>
      </c>
      <c r="F29" s="6" t="s">
        <v>134</v>
      </c>
      <c r="G29" s="6" t="s">
        <v>65</v>
      </c>
      <c r="H29" s="7" t="s">
        <v>18</v>
      </c>
      <c r="I29" s="6" t="s">
        <v>135</v>
      </c>
    </row>
    <row r="30" customFormat="false" ht="15" hidden="false" customHeight="false" outlineLevel="0" collapsed="false">
      <c r="A30" s="13" t="s">
        <v>124</v>
      </c>
      <c r="B30" s="5" t="s">
        <v>12</v>
      </c>
      <c r="C30" s="6" t="s">
        <v>136</v>
      </c>
      <c r="D30" s="6" t="s">
        <v>137</v>
      </c>
      <c r="E30" s="6" t="s">
        <v>138</v>
      </c>
      <c r="F30" s="6" t="s">
        <v>139</v>
      </c>
      <c r="G30" s="6" t="s">
        <v>61</v>
      </c>
      <c r="H30" s="7" t="s">
        <v>140</v>
      </c>
      <c r="I30" s="6" t="s">
        <v>141</v>
      </c>
    </row>
    <row r="31" customFormat="false" ht="22.35" hidden="false" customHeight="false" outlineLevel="0" collapsed="false">
      <c r="A31" s="13" t="s">
        <v>124</v>
      </c>
      <c r="B31" s="5" t="s">
        <v>12</v>
      </c>
      <c r="C31" s="6" t="s">
        <v>142</v>
      </c>
      <c r="D31" s="6" t="s">
        <v>143</v>
      </c>
      <c r="E31" s="6" t="s">
        <v>92</v>
      </c>
      <c r="F31" s="6" t="s">
        <v>144</v>
      </c>
      <c r="G31" s="6" t="s">
        <v>145</v>
      </c>
      <c r="H31" s="7" t="s">
        <v>146</v>
      </c>
      <c r="I31" s="6" t="s">
        <v>147</v>
      </c>
    </row>
    <row r="32" customFormat="false" ht="15" hidden="false" customHeight="false" outlineLevel="0" collapsed="false">
      <c r="A32" s="13" t="s">
        <v>124</v>
      </c>
      <c r="B32" s="8" t="s">
        <v>30</v>
      </c>
      <c r="C32" s="6" t="s">
        <v>148</v>
      </c>
      <c r="D32" s="6" t="s">
        <v>149</v>
      </c>
      <c r="E32" s="6" t="s">
        <v>150</v>
      </c>
      <c r="F32" s="6" t="s">
        <v>151</v>
      </c>
      <c r="G32" s="6" t="s">
        <v>152</v>
      </c>
      <c r="H32" s="7" t="s">
        <v>140</v>
      </c>
      <c r="I32" s="6" t="s">
        <v>153</v>
      </c>
    </row>
    <row r="33" customFormat="false" ht="15" hidden="false" customHeight="false" outlineLevel="0" collapsed="false">
      <c r="A33" s="13" t="s">
        <v>124</v>
      </c>
      <c r="B33" s="8" t="s">
        <v>30</v>
      </c>
      <c r="C33" s="6" t="s">
        <v>154</v>
      </c>
      <c r="D33" s="6" t="s">
        <v>155</v>
      </c>
      <c r="E33" s="6" t="s">
        <v>156</v>
      </c>
      <c r="F33" s="6" t="s">
        <v>157</v>
      </c>
      <c r="G33" s="6" t="s">
        <v>152</v>
      </c>
      <c r="H33" s="7" t="s">
        <v>140</v>
      </c>
      <c r="I33" s="6" t="s">
        <v>158</v>
      </c>
    </row>
    <row r="34" customFormat="false" ht="15" hidden="false" customHeight="false" outlineLevel="0" collapsed="false">
      <c r="A34" s="13" t="s">
        <v>124</v>
      </c>
      <c r="B34" s="8" t="s">
        <v>30</v>
      </c>
      <c r="C34" s="6" t="s">
        <v>159</v>
      </c>
      <c r="D34" s="6" t="s">
        <v>160</v>
      </c>
      <c r="E34" s="6" t="s">
        <v>161</v>
      </c>
      <c r="F34" s="6" t="s">
        <v>157</v>
      </c>
      <c r="G34" s="6" t="s">
        <v>65</v>
      </c>
      <c r="H34" s="7" t="s">
        <v>162</v>
      </c>
      <c r="I34" s="6" t="s">
        <v>163</v>
      </c>
    </row>
    <row r="35" customFormat="false" ht="22.35" hidden="false" customHeight="false" outlineLevel="0" collapsed="false">
      <c r="A35" s="13" t="s">
        <v>124</v>
      </c>
      <c r="B35" s="8" t="s">
        <v>30</v>
      </c>
      <c r="C35" s="6" t="s">
        <v>164</v>
      </c>
      <c r="D35" s="6" t="s">
        <v>165</v>
      </c>
      <c r="E35" s="6" t="s">
        <v>166</v>
      </c>
      <c r="F35" s="6" t="s">
        <v>151</v>
      </c>
      <c r="G35" s="6" t="s">
        <v>167</v>
      </c>
      <c r="H35" s="7" t="s">
        <v>162</v>
      </c>
      <c r="I35" s="6" t="s">
        <v>168</v>
      </c>
    </row>
    <row r="36" customFormat="false" ht="22.35" hidden="false" customHeight="false" outlineLevel="0" collapsed="false">
      <c r="A36" s="13" t="s">
        <v>124</v>
      </c>
      <c r="B36" s="10" t="s">
        <v>44</v>
      </c>
      <c r="C36" s="6" t="s">
        <v>169</v>
      </c>
      <c r="D36" s="6" t="s">
        <v>170</v>
      </c>
      <c r="E36" s="6" t="s">
        <v>47</v>
      </c>
      <c r="F36" s="6" t="s">
        <v>171</v>
      </c>
      <c r="G36" s="6" t="s">
        <v>61</v>
      </c>
      <c r="H36" s="6" t="s">
        <v>102</v>
      </c>
      <c r="I36" s="6" t="s">
        <v>172</v>
      </c>
    </row>
    <row r="37" customFormat="false" ht="15" hidden="false" customHeight="false" outlineLevel="0" collapsed="false">
      <c r="A37" s="13" t="s">
        <v>124</v>
      </c>
      <c r="B37" s="8" t="s">
        <v>30</v>
      </c>
      <c r="C37" s="6" t="s">
        <v>173</v>
      </c>
      <c r="D37" s="6" t="s">
        <v>174</v>
      </c>
      <c r="E37" s="6" t="s">
        <v>133</v>
      </c>
      <c r="F37" s="6" t="s">
        <v>175</v>
      </c>
      <c r="G37" s="6" t="s">
        <v>65</v>
      </c>
      <c r="H37" s="7" t="s">
        <v>162</v>
      </c>
      <c r="I37" s="6" t="s">
        <v>176</v>
      </c>
    </row>
    <row r="38" customFormat="false" ht="22.35" hidden="false" customHeight="false" outlineLevel="0" collapsed="false">
      <c r="A38" s="13" t="s">
        <v>124</v>
      </c>
      <c r="B38" s="10" t="s">
        <v>44</v>
      </c>
      <c r="C38" s="6" t="s">
        <v>177</v>
      </c>
      <c r="D38" s="6" t="s">
        <v>178</v>
      </c>
      <c r="E38" s="6" t="s">
        <v>121</v>
      </c>
      <c r="F38" s="6" t="s">
        <v>179</v>
      </c>
      <c r="G38" s="6" t="s">
        <v>65</v>
      </c>
      <c r="H38" s="9" t="s">
        <v>180</v>
      </c>
      <c r="I38" s="6" t="s">
        <v>181</v>
      </c>
    </row>
    <row r="39" customFormat="false" ht="15" hidden="false" customHeight="false" outlineLevel="0" collapsed="false">
      <c r="A39" s="13" t="s">
        <v>124</v>
      </c>
      <c r="B39" s="10" t="s">
        <v>44</v>
      </c>
      <c r="C39" s="6" t="s">
        <v>74</v>
      </c>
      <c r="D39" s="6" t="s">
        <v>182</v>
      </c>
      <c r="E39" s="6" t="s">
        <v>183</v>
      </c>
      <c r="F39" s="6" t="s">
        <v>179</v>
      </c>
      <c r="G39" s="6" t="s">
        <v>121</v>
      </c>
      <c r="H39" s="9" t="s">
        <v>184</v>
      </c>
      <c r="I39" s="6" t="s">
        <v>185</v>
      </c>
    </row>
    <row r="40" customFormat="false" ht="15" hidden="false" customHeight="false" outlineLevel="0" collapsed="false">
      <c r="A40" s="13" t="s">
        <v>124</v>
      </c>
      <c r="B40" s="10" t="s">
        <v>44</v>
      </c>
      <c r="C40" s="6" t="s">
        <v>186</v>
      </c>
      <c r="D40" s="6" t="s">
        <v>187</v>
      </c>
      <c r="E40" s="6" t="s">
        <v>71</v>
      </c>
      <c r="F40" s="6" t="s">
        <v>179</v>
      </c>
      <c r="G40" s="6" t="s">
        <v>65</v>
      </c>
      <c r="H40" s="9" t="s">
        <v>122</v>
      </c>
      <c r="I40" s="6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14" t="s">
        <v>189</v>
      </c>
    </row>
    <row r="2" customFormat="false" ht="15" hidden="false" customHeight="false" outlineLevel="0" collapsed="false">
      <c r="A2" s="2" t="s">
        <v>190</v>
      </c>
    </row>
    <row r="4" customFormat="false" ht="15" hidden="false" customHeight="false" outlineLevel="0" collapsed="false">
      <c r="A4" s="3" t="s">
        <v>2</v>
      </c>
      <c r="B4" s="3" t="s">
        <v>4</v>
      </c>
      <c r="C4" s="3" t="s">
        <v>5</v>
      </c>
      <c r="D4" s="3" t="s">
        <v>191</v>
      </c>
      <c r="E4" s="3" t="s">
        <v>192</v>
      </c>
      <c r="F4" s="3" t="s">
        <v>193</v>
      </c>
    </row>
    <row r="5" customFormat="false" ht="22.35" hidden="false" customHeight="false" outlineLevel="0" collapsed="false">
      <c r="A5" s="4" t="s">
        <v>11</v>
      </c>
      <c r="B5" s="6" t="s">
        <v>45</v>
      </c>
      <c r="C5" s="6" t="s">
        <v>194</v>
      </c>
      <c r="D5" s="6" t="s">
        <v>195</v>
      </c>
      <c r="E5" s="6" t="s">
        <v>196</v>
      </c>
      <c r="F5" s="6" t="s">
        <v>197</v>
      </c>
    </row>
    <row r="6" customFormat="false" ht="15" hidden="false" customHeight="false" outlineLevel="0" collapsed="false">
      <c r="A6" s="4" t="s">
        <v>11</v>
      </c>
      <c r="B6" s="6" t="s">
        <v>52</v>
      </c>
      <c r="C6" s="6" t="s">
        <v>53</v>
      </c>
      <c r="D6" s="6" t="s">
        <v>198</v>
      </c>
      <c r="E6" s="6" t="s">
        <v>196</v>
      </c>
      <c r="F6" s="6" t="s">
        <v>199</v>
      </c>
    </row>
    <row r="7" customFormat="false" ht="15" hidden="false" customHeight="false" outlineLevel="0" collapsed="false">
      <c r="A7" s="4" t="s">
        <v>11</v>
      </c>
      <c r="B7" s="6" t="s">
        <v>58</v>
      </c>
      <c r="C7" s="6" t="s">
        <v>200</v>
      </c>
      <c r="D7" s="6" t="s">
        <v>201</v>
      </c>
      <c r="E7" s="6" t="s">
        <v>202</v>
      </c>
      <c r="F7" s="6" t="s">
        <v>60</v>
      </c>
    </row>
    <row r="8" customFormat="false" ht="15" hidden="false" customHeight="false" outlineLevel="0" collapsed="false">
      <c r="A8" s="4" t="s">
        <v>11</v>
      </c>
      <c r="B8" s="6" t="s">
        <v>63</v>
      </c>
      <c r="C8" s="6" t="s">
        <v>64</v>
      </c>
      <c r="D8" s="6" t="s">
        <v>203</v>
      </c>
      <c r="E8" s="6" t="s">
        <v>47</v>
      </c>
      <c r="F8" s="6" t="s">
        <v>48</v>
      </c>
    </row>
    <row r="9" customFormat="false" ht="15" hidden="false" customHeight="false" outlineLevel="0" collapsed="false">
      <c r="A9" s="4" t="s">
        <v>11</v>
      </c>
      <c r="B9" s="6" t="s">
        <v>67</v>
      </c>
      <c r="C9" s="6" t="s">
        <v>68</v>
      </c>
      <c r="D9" s="6" t="s">
        <v>204</v>
      </c>
      <c r="E9" s="6" t="s">
        <v>202</v>
      </c>
      <c r="F9" s="6" t="s">
        <v>205</v>
      </c>
    </row>
    <row r="10" customFormat="false" ht="22.35" hidden="false" customHeight="false" outlineLevel="0" collapsed="false">
      <c r="A10" s="12" t="s">
        <v>73</v>
      </c>
      <c r="B10" s="6" t="s">
        <v>115</v>
      </c>
      <c r="C10" s="6" t="s">
        <v>116</v>
      </c>
      <c r="D10" s="6" t="s">
        <v>117</v>
      </c>
      <c r="E10" s="6" t="s">
        <v>202</v>
      </c>
      <c r="F10" s="6" t="s">
        <v>206</v>
      </c>
    </row>
    <row r="11" customFormat="false" ht="22.35" hidden="false" customHeight="false" outlineLevel="0" collapsed="false">
      <c r="A11" s="12" t="s">
        <v>73</v>
      </c>
      <c r="B11" s="6" t="s">
        <v>118</v>
      </c>
      <c r="C11" s="6" t="s">
        <v>119</v>
      </c>
      <c r="D11" s="6" t="s">
        <v>207</v>
      </c>
      <c r="E11" s="6" t="s">
        <v>208</v>
      </c>
      <c r="F11" s="6" t="s">
        <v>93</v>
      </c>
    </row>
    <row r="12" customFormat="false" ht="22.35" hidden="false" customHeight="false" outlineLevel="0" collapsed="false">
      <c r="A12" s="12" t="s">
        <v>73</v>
      </c>
      <c r="B12" s="6" t="s">
        <v>90</v>
      </c>
      <c r="C12" s="6" t="s">
        <v>209</v>
      </c>
      <c r="D12" s="6" t="s">
        <v>210</v>
      </c>
      <c r="E12" s="6" t="s">
        <v>47</v>
      </c>
      <c r="F12" s="6" t="s">
        <v>206</v>
      </c>
    </row>
    <row r="13" customFormat="false" ht="22.35" hidden="false" customHeight="false" outlineLevel="0" collapsed="false">
      <c r="A13" s="12" t="s">
        <v>73</v>
      </c>
      <c r="B13" s="6" t="s">
        <v>183</v>
      </c>
      <c r="C13" s="6" t="s">
        <v>211</v>
      </c>
      <c r="D13" s="6" t="s">
        <v>212</v>
      </c>
      <c r="E13" s="6" t="s">
        <v>213</v>
      </c>
      <c r="F13" s="6" t="s">
        <v>214</v>
      </c>
    </row>
    <row r="14" customFormat="false" ht="22.35" hidden="false" customHeight="false" outlineLevel="0" collapsed="false">
      <c r="A14" s="12" t="s">
        <v>73</v>
      </c>
      <c r="B14" s="6" t="s">
        <v>183</v>
      </c>
      <c r="C14" s="6" t="s">
        <v>215</v>
      </c>
      <c r="D14" s="6" t="s">
        <v>216</v>
      </c>
      <c r="E14" s="6" t="s">
        <v>47</v>
      </c>
      <c r="F14" s="6" t="s">
        <v>217</v>
      </c>
    </row>
    <row r="15" customFormat="false" ht="22.35" hidden="false" customHeight="false" outlineLevel="0" collapsed="false">
      <c r="A15" s="12" t="s">
        <v>73</v>
      </c>
      <c r="B15" s="6" t="s">
        <v>183</v>
      </c>
      <c r="C15" s="6" t="s">
        <v>218</v>
      </c>
      <c r="D15" s="6" t="s">
        <v>216</v>
      </c>
      <c r="E15" s="6" t="s">
        <v>121</v>
      </c>
      <c r="F15" s="6" t="s">
        <v>219</v>
      </c>
    </row>
    <row r="16" customFormat="false" ht="22.35" hidden="false" customHeight="false" outlineLevel="0" collapsed="false">
      <c r="A16" s="12" t="s">
        <v>73</v>
      </c>
      <c r="B16" s="6" t="s">
        <v>183</v>
      </c>
      <c r="C16" s="6" t="s">
        <v>220</v>
      </c>
      <c r="D16" s="6" t="s">
        <v>216</v>
      </c>
      <c r="E16" s="6" t="s">
        <v>121</v>
      </c>
      <c r="F16" s="6" t="s">
        <v>93</v>
      </c>
    </row>
    <row r="17" customFormat="false" ht="15" hidden="false" customHeight="false" outlineLevel="0" collapsed="false">
      <c r="A17" s="13" t="s">
        <v>124</v>
      </c>
      <c r="B17" s="6" t="s">
        <v>177</v>
      </c>
      <c r="C17" s="6" t="s">
        <v>221</v>
      </c>
      <c r="D17" s="6" t="s">
        <v>222</v>
      </c>
      <c r="E17" s="6" t="s">
        <v>223</v>
      </c>
      <c r="F17" s="6" t="s">
        <v>224</v>
      </c>
    </row>
    <row r="18" customFormat="false" ht="15" hidden="false" customHeight="false" outlineLevel="0" collapsed="false">
      <c r="A18" s="13" t="s">
        <v>124</v>
      </c>
      <c r="B18" s="6" t="s">
        <v>74</v>
      </c>
      <c r="C18" s="6" t="s">
        <v>182</v>
      </c>
      <c r="D18" s="6" t="s">
        <v>225</v>
      </c>
      <c r="E18" s="6" t="s">
        <v>47</v>
      </c>
      <c r="F18" s="6" t="s">
        <v>226</v>
      </c>
    </row>
    <row r="19" customFormat="false" ht="15" hidden="false" customHeight="false" outlineLevel="0" collapsed="false">
      <c r="A19" s="13" t="s">
        <v>124</v>
      </c>
      <c r="B19" s="6" t="s">
        <v>186</v>
      </c>
      <c r="C19" s="6" t="s">
        <v>187</v>
      </c>
      <c r="D19" s="6" t="s">
        <v>227</v>
      </c>
      <c r="E19" s="6" t="s">
        <v>121</v>
      </c>
      <c r="F19" s="6" t="s">
        <v>171</v>
      </c>
    </row>
    <row r="20" customFormat="false" ht="15" hidden="false" customHeight="false" outlineLevel="0" collapsed="false">
      <c r="A20" s="13" t="s">
        <v>124</v>
      </c>
      <c r="B20" s="6" t="s">
        <v>228</v>
      </c>
      <c r="C20" s="6" t="s">
        <v>229</v>
      </c>
      <c r="D20" s="6" t="s">
        <v>230</v>
      </c>
      <c r="E20" s="6" t="s">
        <v>231</v>
      </c>
      <c r="F20" s="6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8"/>
  </cols>
  <sheetData>
    <row r="1" customFormat="false" ht="16.15" hidden="false" customHeight="false" outlineLevel="0" collapsed="false">
      <c r="A1" s="14" t="s">
        <v>233</v>
      </c>
    </row>
    <row r="2" customFormat="false" ht="15" hidden="false" customHeight="false" outlineLevel="0" collapsed="false">
      <c r="A2" s="2" t="s">
        <v>234</v>
      </c>
    </row>
    <row r="4" customFormat="false" ht="15" hidden="false" customHeight="false" outlineLevel="0" collapsed="false">
      <c r="A4" s="15" t="s">
        <v>235</v>
      </c>
      <c r="B4" s="16"/>
      <c r="C4" s="16"/>
      <c r="D4" s="16"/>
      <c r="E4" s="16"/>
      <c r="F4" s="16"/>
      <c r="G4" s="16"/>
    </row>
    <row r="5" customFormat="false" ht="15" hidden="false" customHeight="false" outlineLevel="0" collapsed="false">
      <c r="A5" s="17" t="s">
        <v>236</v>
      </c>
      <c r="B5" s="17" t="s">
        <v>237</v>
      </c>
      <c r="C5" s="17" t="s">
        <v>133</v>
      </c>
      <c r="D5" s="17" t="s">
        <v>238</v>
      </c>
      <c r="E5" s="17" t="s">
        <v>239</v>
      </c>
      <c r="F5" s="17" t="s">
        <v>240</v>
      </c>
      <c r="G5" s="17" t="s">
        <v>241</v>
      </c>
    </row>
    <row r="6" customFormat="false" ht="15" hidden="false" customHeight="false" outlineLevel="0" collapsed="false">
      <c r="A6" s="18" t="s">
        <v>242</v>
      </c>
      <c r="B6" s="19"/>
      <c r="C6" s="20" t="n">
        <v>1</v>
      </c>
      <c r="D6" s="20" t="n">
        <v>1</v>
      </c>
      <c r="E6" s="19"/>
      <c r="F6" s="19"/>
      <c r="G6" s="19"/>
    </row>
    <row r="7" customFormat="false" ht="15" hidden="false" customHeight="false" outlineLevel="0" collapsed="false">
      <c r="A7" s="18" t="s">
        <v>243</v>
      </c>
      <c r="B7" s="19"/>
      <c r="C7" s="19"/>
      <c r="D7" s="19"/>
      <c r="E7" s="20" t="n">
        <v>1</v>
      </c>
      <c r="F7" s="20" t="n">
        <v>1.5</v>
      </c>
      <c r="G7" s="20" t="n">
        <v>0.5</v>
      </c>
    </row>
    <row r="8" customFormat="false" ht="15" hidden="false" customHeight="false" outlineLevel="0" collapsed="false">
      <c r="A8" s="18" t="s">
        <v>244</v>
      </c>
      <c r="B8" s="19"/>
      <c r="C8" s="20" t="n">
        <v>0.8</v>
      </c>
      <c r="D8" s="20" t="n">
        <v>0.8</v>
      </c>
      <c r="E8" s="20" t="n">
        <v>0.9</v>
      </c>
      <c r="F8" s="20" t="n">
        <v>0.9</v>
      </c>
      <c r="G8" s="20" t="n">
        <v>1.4</v>
      </c>
    </row>
    <row r="9" customFormat="false" ht="15" hidden="false" customHeight="false" outlineLevel="0" collapsed="false">
      <c r="A9" s="18" t="s">
        <v>245</v>
      </c>
      <c r="B9" s="19"/>
      <c r="C9" s="19"/>
      <c r="D9" s="19"/>
      <c r="E9" s="19"/>
      <c r="F9" s="19"/>
      <c r="G9" s="20" t="n">
        <v>0.5</v>
      </c>
    </row>
    <row r="10" customFormat="false" ht="15" hidden="false" customHeight="false" outlineLevel="0" collapsed="false">
      <c r="A10" s="21" t="s">
        <v>246</v>
      </c>
      <c r="B10" s="22" t="n">
        <f aca="false">SUM(B6:B9)</f>
        <v>0</v>
      </c>
      <c r="C10" s="22" t="n">
        <f aca="false">SUM(C6:C9)</f>
        <v>1.8</v>
      </c>
      <c r="D10" s="22" t="n">
        <f aca="false">SUM(D6:D9)</f>
        <v>1.8</v>
      </c>
      <c r="E10" s="22" t="n">
        <f aca="false">SUM(E6:E9)</f>
        <v>1.9</v>
      </c>
      <c r="F10" s="22" t="n">
        <f aca="false">SUM(F6:F9)</f>
        <v>2.4</v>
      </c>
      <c r="G10" s="22" t="n">
        <f aca="false">SUM(G6:G9)</f>
        <v>2.4</v>
      </c>
    </row>
    <row r="11" customFormat="false" ht="15" hidden="false" customHeight="false" outlineLevel="0" collapsed="false">
      <c r="A11" s="23" t="s">
        <v>247</v>
      </c>
      <c r="B11" s="24" t="n">
        <v>0</v>
      </c>
      <c r="C11" s="24" t="n">
        <v>1.8</v>
      </c>
      <c r="D11" s="24" t="n">
        <v>2.4</v>
      </c>
      <c r="E11" s="24" t="n">
        <v>2.4</v>
      </c>
      <c r="F11" s="24" t="n">
        <v>2.4</v>
      </c>
      <c r="G11" s="24" t="n">
        <v>2.4</v>
      </c>
    </row>
    <row r="12" customFormat="false" ht="15" hidden="false" customHeight="false" outlineLevel="0" collapsed="false">
      <c r="A12" s="25" t="s">
        <v>248</v>
      </c>
      <c r="B12" s="19" t="n">
        <f aca="false">B11-B10</f>
        <v>0</v>
      </c>
      <c r="C12" s="19" t="n">
        <f aca="false">C11-C10</f>
        <v>0</v>
      </c>
      <c r="D12" s="19" t="n">
        <f aca="false">D11-D10</f>
        <v>0.6</v>
      </c>
      <c r="E12" s="19" t="n">
        <f aca="false">E11-E10</f>
        <v>0.5</v>
      </c>
      <c r="F12" s="19" t="n">
        <f aca="false">F11-F10</f>
        <v>0</v>
      </c>
      <c r="G12" s="19" t="n">
        <f aca="false">G11-G10</f>
        <v>0</v>
      </c>
    </row>
    <row r="14" customFormat="false" ht="15" hidden="false" customHeight="false" outlineLevel="0" collapsed="false">
      <c r="A14" s="15" t="s">
        <v>249</v>
      </c>
      <c r="B14" s="16"/>
      <c r="C14" s="16"/>
      <c r="D14" s="16"/>
      <c r="E14" s="16"/>
      <c r="F14" s="16"/>
      <c r="G14" s="16"/>
    </row>
    <row r="15" customFormat="false" ht="15" hidden="false" customHeight="false" outlineLevel="0" collapsed="false">
      <c r="A15" s="26" t="s">
        <v>236</v>
      </c>
      <c r="B15" s="26" t="s">
        <v>237</v>
      </c>
      <c r="C15" s="26" t="s">
        <v>133</v>
      </c>
      <c r="D15" s="26" t="s">
        <v>238</v>
      </c>
      <c r="E15" s="26" t="s">
        <v>239</v>
      </c>
      <c r="F15" s="26" t="s">
        <v>240</v>
      </c>
      <c r="G15" s="26" t="s">
        <v>241</v>
      </c>
    </row>
    <row r="16" customFormat="false" ht="15" hidden="false" customHeight="false" outlineLevel="0" collapsed="false">
      <c r="A16" s="18" t="s">
        <v>250</v>
      </c>
      <c r="B16" s="19"/>
      <c r="C16" s="27" t="n">
        <v>1</v>
      </c>
      <c r="D16" s="27" t="n">
        <v>0.5</v>
      </c>
      <c r="E16" s="27" t="n">
        <v>0.5</v>
      </c>
      <c r="F16" s="19"/>
      <c r="G16" s="19"/>
    </row>
    <row r="17" customFormat="false" ht="15" hidden="false" customHeight="false" outlineLevel="0" collapsed="false">
      <c r="A17" s="18" t="s">
        <v>251</v>
      </c>
      <c r="B17" s="19"/>
      <c r="C17" s="27" t="n">
        <v>0.5</v>
      </c>
      <c r="D17" s="27" t="n">
        <v>0.5</v>
      </c>
      <c r="E17" s="27" t="n">
        <v>0.25</v>
      </c>
      <c r="F17" s="27" t="n">
        <v>0.5</v>
      </c>
      <c r="G17" s="27" t="n">
        <v>0.5</v>
      </c>
    </row>
    <row r="18" customFormat="false" ht="15" hidden="false" customHeight="false" outlineLevel="0" collapsed="false">
      <c r="A18" s="18" t="s">
        <v>91</v>
      </c>
      <c r="B18" s="19"/>
      <c r="C18" s="27" t="n">
        <v>0.25</v>
      </c>
      <c r="D18" s="27" t="n">
        <v>0.25</v>
      </c>
      <c r="E18" s="27" t="n">
        <v>0.25</v>
      </c>
      <c r="F18" s="27" t="n">
        <v>0.25</v>
      </c>
      <c r="G18" s="27" t="n">
        <v>0.25</v>
      </c>
    </row>
    <row r="19" customFormat="false" ht="15" hidden="false" customHeight="false" outlineLevel="0" collapsed="false">
      <c r="A19" s="18" t="s">
        <v>252</v>
      </c>
      <c r="B19" s="19"/>
      <c r="C19" s="27" t="n">
        <v>0.75</v>
      </c>
      <c r="D19" s="27" t="n">
        <v>0.75</v>
      </c>
      <c r="E19" s="27" t="n">
        <v>0.75</v>
      </c>
      <c r="F19" s="27" t="n">
        <v>0.75</v>
      </c>
      <c r="G19" s="19"/>
    </row>
    <row r="20" customFormat="false" ht="15" hidden="false" customHeight="false" outlineLevel="0" collapsed="false">
      <c r="A20" s="18" t="s">
        <v>253</v>
      </c>
      <c r="B20" s="19"/>
      <c r="C20" s="19"/>
      <c r="D20" s="27" t="n">
        <v>0.5</v>
      </c>
      <c r="E20" s="27" t="n">
        <v>0.75</v>
      </c>
      <c r="F20" s="27" t="n">
        <v>0.5</v>
      </c>
      <c r="G20" s="19"/>
    </row>
    <row r="21" customFormat="false" ht="15" hidden="false" customHeight="false" outlineLevel="0" collapsed="false">
      <c r="A21" s="18" t="s">
        <v>112</v>
      </c>
      <c r="B21" s="19"/>
      <c r="C21" s="27" t="n">
        <v>0.5</v>
      </c>
      <c r="D21" s="27" t="n">
        <v>0.5</v>
      </c>
      <c r="E21" s="27" t="n">
        <v>0.5</v>
      </c>
      <c r="F21" s="27" t="n">
        <v>0.5</v>
      </c>
      <c r="G21" s="27" t="n">
        <v>0.5</v>
      </c>
    </row>
    <row r="22" customFormat="false" ht="15" hidden="false" customHeight="false" outlineLevel="0" collapsed="false">
      <c r="A22" s="21" t="s">
        <v>246</v>
      </c>
      <c r="B22" s="22" t="n">
        <f aca="false">SUM(B16:B21)</f>
        <v>0</v>
      </c>
      <c r="C22" s="22" t="n">
        <f aca="false">SUM(C16:C21)</f>
        <v>3</v>
      </c>
      <c r="D22" s="22" t="n">
        <f aca="false">SUM(D16:D21)</f>
        <v>3</v>
      </c>
      <c r="E22" s="22" t="n">
        <f aca="false">SUM(E16:E21)</f>
        <v>3</v>
      </c>
      <c r="F22" s="22" t="n">
        <f aca="false">SUM(F16:F21)</f>
        <v>2.5</v>
      </c>
      <c r="G22" s="22" t="n">
        <f aca="false">SUM(G16:G21)</f>
        <v>1.25</v>
      </c>
    </row>
    <row r="23" customFormat="false" ht="15" hidden="false" customHeight="false" outlineLevel="0" collapsed="false">
      <c r="A23" s="23" t="s">
        <v>247</v>
      </c>
      <c r="B23" s="24" t="n">
        <v>0</v>
      </c>
      <c r="C23" s="24" t="n">
        <v>3</v>
      </c>
      <c r="D23" s="24" t="n">
        <v>3</v>
      </c>
      <c r="E23" s="24" t="n">
        <v>3</v>
      </c>
      <c r="F23" s="24" t="n">
        <v>3</v>
      </c>
      <c r="G23" s="24" t="n">
        <v>3</v>
      </c>
    </row>
    <row r="24" customFormat="false" ht="15" hidden="false" customHeight="false" outlineLevel="0" collapsed="false">
      <c r="A24" s="25" t="s">
        <v>248</v>
      </c>
      <c r="B24" s="19" t="n">
        <f aca="false">B23-B22</f>
        <v>0</v>
      </c>
      <c r="C24" s="19" t="n">
        <f aca="false">C23-C22</f>
        <v>0</v>
      </c>
      <c r="D24" s="19" t="n">
        <f aca="false">D23-D22</f>
        <v>0</v>
      </c>
      <c r="E24" s="19" t="n">
        <f aca="false">E23-E22</f>
        <v>0</v>
      </c>
      <c r="F24" s="19" t="n">
        <f aca="false">F23-F22</f>
        <v>0.5</v>
      </c>
      <c r="G24" s="19" t="n">
        <f aca="false">G23-G22</f>
        <v>1.75</v>
      </c>
    </row>
    <row r="26" customFormat="false" ht="15" hidden="false" customHeight="false" outlineLevel="0" collapsed="false">
      <c r="A26" s="15" t="s">
        <v>254</v>
      </c>
      <c r="B26" s="16"/>
      <c r="C26" s="16"/>
      <c r="D26" s="16"/>
      <c r="E26" s="16"/>
      <c r="F26" s="16"/>
      <c r="G26" s="16"/>
    </row>
    <row r="27" customFormat="false" ht="15" hidden="false" customHeight="false" outlineLevel="0" collapsed="false">
      <c r="A27" s="28" t="s">
        <v>236</v>
      </c>
      <c r="B27" s="28" t="s">
        <v>237</v>
      </c>
      <c r="C27" s="28" t="s">
        <v>133</v>
      </c>
      <c r="D27" s="28" t="s">
        <v>238</v>
      </c>
      <c r="E27" s="28" t="s">
        <v>239</v>
      </c>
      <c r="F27" s="28" t="s">
        <v>240</v>
      </c>
      <c r="G27" s="28" t="s">
        <v>241</v>
      </c>
    </row>
    <row r="28" customFormat="false" ht="15" hidden="false" customHeight="false" outlineLevel="0" collapsed="false">
      <c r="A28" s="18" t="s">
        <v>255</v>
      </c>
      <c r="B28" s="19"/>
      <c r="C28" s="29" t="n">
        <v>1</v>
      </c>
      <c r="D28" s="29" t="n">
        <v>2</v>
      </c>
      <c r="E28" s="29" t="n">
        <v>2</v>
      </c>
      <c r="F28" s="29" t="n">
        <v>2</v>
      </c>
      <c r="G28" s="29" t="n">
        <v>2</v>
      </c>
    </row>
    <row r="29" customFormat="false" ht="15" hidden="false" customHeight="false" outlineLevel="0" collapsed="false">
      <c r="A29" s="18" t="s">
        <v>256</v>
      </c>
      <c r="B29" s="19"/>
      <c r="C29" s="29" t="n">
        <v>1</v>
      </c>
      <c r="D29" s="19"/>
      <c r="E29" s="19"/>
      <c r="F29" s="19"/>
      <c r="G29" s="19"/>
    </row>
    <row r="30" customFormat="false" ht="15" hidden="false" customHeight="false" outlineLevel="0" collapsed="false">
      <c r="A30" s="18" t="s">
        <v>257</v>
      </c>
      <c r="B30" s="19"/>
      <c r="C30" s="29" t="n">
        <v>2</v>
      </c>
      <c r="D30" s="19"/>
      <c r="E30" s="19"/>
      <c r="F30" s="19"/>
      <c r="G30" s="19"/>
    </row>
    <row r="31" customFormat="false" ht="15" hidden="false" customHeight="false" outlineLevel="0" collapsed="false">
      <c r="A31" s="18" t="s">
        <v>258</v>
      </c>
      <c r="B31" s="19"/>
      <c r="C31" s="29" t="n">
        <v>1</v>
      </c>
      <c r="D31" s="29" t="n">
        <v>1</v>
      </c>
      <c r="E31" s="19"/>
      <c r="F31" s="19"/>
      <c r="G31" s="19"/>
    </row>
    <row r="32" customFormat="false" ht="15" hidden="false" customHeight="false" outlineLevel="0" collapsed="false">
      <c r="A32" s="18" t="s">
        <v>259</v>
      </c>
      <c r="B32" s="19"/>
      <c r="C32" s="19"/>
      <c r="D32" s="29" t="n">
        <v>1</v>
      </c>
      <c r="E32" s="29" t="n">
        <v>1</v>
      </c>
      <c r="F32" s="29" t="n">
        <v>1</v>
      </c>
      <c r="G32" s="29" t="n">
        <v>1</v>
      </c>
    </row>
    <row r="33" customFormat="false" ht="15" hidden="false" customHeight="false" outlineLevel="0" collapsed="false">
      <c r="A33" s="18" t="s">
        <v>260</v>
      </c>
      <c r="B33" s="19"/>
      <c r="C33" s="19"/>
      <c r="D33" s="29" t="n">
        <v>1</v>
      </c>
      <c r="E33" s="29" t="n">
        <v>1</v>
      </c>
      <c r="F33" s="29" t="n">
        <v>1</v>
      </c>
      <c r="G33" s="29" t="n">
        <v>1</v>
      </c>
    </row>
    <row r="34" customFormat="false" ht="15" hidden="false" customHeight="false" outlineLevel="0" collapsed="false">
      <c r="A34" s="18" t="s">
        <v>261</v>
      </c>
      <c r="B34" s="19"/>
      <c r="C34" s="19"/>
      <c r="D34" s="19"/>
      <c r="E34" s="29" t="n">
        <v>1</v>
      </c>
      <c r="F34" s="19"/>
      <c r="G34" s="29" t="n">
        <v>1</v>
      </c>
    </row>
    <row r="35" customFormat="false" ht="15" hidden="false" customHeight="false" outlineLevel="0" collapsed="false">
      <c r="A35" s="18" t="s">
        <v>262</v>
      </c>
      <c r="B35" s="19"/>
      <c r="C35" s="19"/>
      <c r="D35" s="19"/>
      <c r="E35" s="19"/>
      <c r="F35" s="29" t="n">
        <v>1</v>
      </c>
      <c r="G35" s="19"/>
    </row>
    <row r="36" customFormat="false" ht="15" hidden="false" customHeight="false" outlineLevel="0" collapsed="false">
      <c r="A36" s="21" t="s">
        <v>246</v>
      </c>
      <c r="B36" s="22" t="n">
        <f aca="false">SUM(B28:B35)</f>
        <v>0</v>
      </c>
      <c r="C36" s="22" t="n">
        <f aca="false">SUM(C28:C35)</f>
        <v>5</v>
      </c>
      <c r="D36" s="22" t="n">
        <f aca="false">SUM(D28:D35)</f>
        <v>5</v>
      </c>
      <c r="E36" s="22" t="n">
        <f aca="false">SUM(E28:E35)</f>
        <v>5</v>
      </c>
      <c r="F36" s="22" t="n">
        <f aca="false">SUM(F28:F35)</f>
        <v>5</v>
      </c>
      <c r="G36" s="22" t="n">
        <f aca="false">SUM(G28:G35)</f>
        <v>5</v>
      </c>
    </row>
    <row r="37" customFormat="false" ht="15" hidden="false" customHeight="false" outlineLevel="0" collapsed="false">
      <c r="A37" s="23" t="s">
        <v>247</v>
      </c>
      <c r="B37" s="24" t="n">
        <v>0</v>
      </c>
      <c r="C37" s="24" t="n">
        <v>5</v>
      </c>
      <c r="D37" s="24" t="n">
        <v>5</v>
      </c>
      <c r="E37" s="24" t="n">
        <v>5</v>
      </c>
      <c r="F37" s="24" t="n">
        <v>5</v>
      </c>
      <c r="G37" s="24" t="n">
        <v>5</v>
      </c>
    </row>
    <row r="38" customFormat="false" ht="15" hidden="false" customHeight="false" outlineLevel="0" collapsed="false">
      <c r="A38" s="25" t="s">
        <v>248</v>
      </c>
      <c r="B38" s="19" t="n">
        <f aca="false">B37-B36</f>
        <v>0</v>
      </c>
      <c r="C38" s="19" t="n">
        <f aca="false">C37-C36</f>
        <v>0</v>
      </c>
      <c r="D38" s="19" t="n">
        <f aca="false">D37-D36</f>
        <v>0</v>
      </c>
      <c r="E38" s="19" t="n">
        <f aca="false">E37-E36</f>
        <v>0</v>
      </c>
      <c r="F38" s="19" t="n">
        <f aca="false">F37-F36</f>
        <v>0</v>
      </c>
      <c r="G38" s="19" t="n">
        <f aca="false">G37-G36</f>
        <v>0</v>
      </c>
    </row>
  </sheetData>
  <conditionalFormatting sqref="B5:G4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52"/>
  </cols>
  <sheetData>
    <row r="1" customFormat="false" ht="16.15" hidden="false" customHeight="false" outlineLevel="0" collapsed="false">
      <c r="A1" s="14" t="s">
        <v>263</v>
      </c>
    </row>
    <row r="3" customFormat="false" ht="23.85" hidden="false" customHeight="false" outlineLevel="0" collapsed="false">
      <c r="A3" s="30" t="s">
        <v>264</v>
      </c>
      <c r="B3" s="30" t="s">
        <v>265</v>
      </c>
      <c r="C3" s="30" t="s">
        <v>266</v>
      </c>
      <c r="D3" s="30" t="s">
        <v>267</v>
      </c>
      <c r="E3" s="30" t="s">
        <v>268</v>
      </c>
    </row>
    <row r="4" customFormat="false" ht="46.25" hidden="false" customHeight="false" outlineLevel="0" collapsed="false">
      <c r="A4" s="31" t="s">
        <v>269</v>
      </c>
      <c r="B4" s="32" t="s">
        <v>270</v>
      </c>
      <c r="C4" s="32" t="s">
        <v>271</v>
      </c>
      <c r="D4" s="32" t="s">
        <v>272</v>
      </c>
      <c r="E4" s="32" t="s">
        <v>273</v>
      </c>
    </row>
    <row r="5" customFormat="false" ht="46.25" hidden="false" customHeight="false" outlineLevel="0" collapsed="false">
      <c r="A5" s="33" t="s">
        <v>274</v>
      </c>
      <c r="B5" s="32" t="s">
        <v>275</v>
      </c>
      <c r="C5" s="32" t="s">
        <v>276</v>
      </c>
      <c r="D5" s="32" t="s">
        <v>277</v>
      </c>
      <c r="E5" s="32" t="s">
        <v>278</v>
      </c>
    </row>
    <row r="6" customFormat="false" ht="57.45" hidden="false" customHeight="false" outlineLevel="0" collapsed="false">
      <c r="A6" s="34" t="s">
        <v>279</v>
      </c>
      <c r="B6" s="32" t="s">
        <v>280</v>
      </c>
      <c r="C6" s="32" t="s">
        <v>281</v>
      </c>
      <c r="D6" s="32" t="s">
        <v>282</v>
      </c>
      <c r="E6" s="32" t="s">
        <v>283</v>
      </c>
    </row>
    <row r="7" customFormat="false" ht="23.85" hidden="false" customHeight="false" outlineLevel="0" collapsed="false">
      <c r="A7" s="35" t="s">
        <v>284</v>
      </c>
      <c r="B7" s="32" t="s">
        <v>285</v>
      </c>
      <c r="C7" s="32" t="s">
        <v>286</v>
      </c>
      <c r="D7" s="32" t="s">
        <v>287</v>
      </c>
      <c r="E7" s="32" t="s">
        <v>288</v>
      </c>
    </row>
    <row r="9" customFormat="false" ht="22.35" hidden="false" customHeight="true" outlineLevel="0" collapsed="false">
      <c r="A9" s="36" t="s">
        <v>289</v>
      </c>
      <c r="B9" s="36"/>
      <c r="C9" s="36"/>
      <c r="D9" s="36"/>
      <c r="E9" s="36"/>
    </row>
  </sheetData>
  <mergeCells count="1"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20"/>
  </cols>
  <sheetData>
    <row r="1" customFormat="false" ht="16.15" hidden="false" customHeight="false" outlineLevel="0" collapsed="false">
      <c r="A1" s="14" t="s">
        <v>290</v>
      </c>
    </row>
    <row r="2" customFormat="false" ht="15" hidden="false" customHeight="false" outlineLevel="0" collapsed="false">
      <c r="A2" s="37" t="s">
        <v>291</v>
      </c>
    </row>
    <row r="4" customFormat="false" ht="15" hidden="false" customHeight="false" outlineLevel="0" collapsed="false">
      <c r="A4" s="15" t="s">
        <v>292</v>
      </c>
      <c r="B4" s="16"/>
      <c r="C4" s="16"/>
      <c r="D4" s="16"/>
      <c r="E4" s="16"/>
      <c r="F4" s="16"/>
      <c r="G4" s="16"/>
    </row>
    <row r="5" customFormat="false" ht="15" hidden="false" customHeight="false" outlineLevel="0" collapsed="false">
      <c r="A5" s="17" t="s">
        <v>293</v>
      </c>
      <c r="B5" s="17" t="s">
        <v>237</v>
      </c>
      <c r="C5" s="17" t="s">
        <v>133</v>
      </c>
      <c r="D5" s="17" t="s">
        <v>238</v>
      </c>
      <c r="E5" s="17" t="s">
        <v>239</v>
      </c>
      <c r="F5" s="17" t="s">
        <v>240</v>
      </c>
      <c r="G5" s="17" t="s">
        <v>241</v>
      </c>
    </row>
    <row r="6" customFormat="false" ht="15" hidden="false" customHeight="false" outlineLevel="0" collapsed="false">
      <c r="A6" s="38" t="s">
        <v>294</v>
      </c>
      <c r="B6" s="39" t="s">
        <v>295</v>
      </c>
      <c r="C6" s="39" t="s">
        <v>296</v>
      </c>
      <c r="D6" s="39" t="s">
        <v>297</v>
      </c>
      <c r="E6" s="39" t="s">
        <v>298</v>
      </c>
      <c r="F6" s="39" t="s">
        <v>299</v>
      </c>
      <c r="G6" s="39" t="s">
        <v>299</v>
      </c>
    </row>
    <row r="7" customFormat="false" ht="15" hidden="false" customHeight="false" outlineLevel="0" collapsed="false">
      <c r="A7" s="38" t="s">
        <v>300</v>
      </c>
      <c r="B7" s="39" t="s">
        <v>295</v>
      </c>
      <c r="C7" s="39" t="s">
        <v>301</v>
      </c>
      <c r="D7" s="39" t="s">
        <v>301</v>
      </c>
      <c r="E7" s="39" t="s">
        <v>302</v>
      </c>
      <c r="F7" s="39" t="s">
        <v>302</v>
      </c>
      <c r="G7" s="39" t="s">
        <v>303</v>
      </c>
    </row>
    <row r="8" customFormat="false" ht="15" hidden="false" customHeight="false" outlineLevel="0" collapsed="false">
      <c r="A8" s="38" t="s">
        <v>304</v>
      </c>
      <c r="B8" s="39" t="s">
        <v>295</v>
      </c>
      <c r="C8" s="39" t="s">
        <v>305</v>
      </c>
      <c r="D8" s="39" t="s">
        <v>306</v>
      </c>
      <c r="E8" s="39" t="s">
        <v>307</v>
      </c>
      <c r="F8" s="39" t="s">
        <v>303</v>
      </c>
      <c r="G8" s="39" t="s">
        <v>303</v>
      </c>
    </row>
    <row r="9" customFormat="false" ht="15" hidden="false" customHeight="false" outlineLevel="0" collapsed="false">
      <c r="A9" s="38" t="s">
        <v>308</v>
      </c>
      <c r="B9" s="39" t="s">
        <v>295</v>
      </c>
      <c r="C9" s="40" t="s">
        <v>309</v>
      </c>
      <c r="D9" s="39" t="s">
        <v>310</v>
      </c>
      <c r="E9" s="39" t="s">
        <v>311</v>
      </c>
      <c r="F9" s="39" t="s">
        <v>311</v>
      </c>
      <c r="G9" s="39" t="s">
        <v>311</v>
      </c>
    </row>
    <row r="10" customFormat="false" ht="15" hidden="false" customHeight="false" outlineLevel="0" collapsed="false">
      <c r="A10" s="38" t="s">
        <v>312</v>
      </c>
      <c r="B10" s="39" t="s">
        <v>295</v>
      </c>
      <c r="C10" s="39" t="s">
        <v>313</v>
      </c>
      <c r="D10" s="39" t="s">
        <v>314</v>
      </c>
      <c r="E10" s="39" t="s">
        <v>314</v>
      </c>
      <c r="F10" s="39" t="s">
        <v>314</v>
      </c>
      <c r="G10" s="39" t="s">
        <v>314</v>
      </c>
    </row>
    <row r="12" customFormat="false" ht="15" hidden="false" customHeight="false" outlineLevel="0" collapsed="false">
      <c r="A12" s="15" t="s">
        <v>315</v>
      </c>
      <c r="B12" s="16"/>
      <c r="C12" s="16"/>
      <c r="D12" s="16"/>
      <c r="E12" s="16"/>
      <c r="F12" s="16"/>
      <c r="G12" s="16"/>
    </row>
    <row r="13" customFormat="false" ht="15" hidden="false" customHeight="false" outlineLevel="0" collapsed="false">
      <c r="A13" s="26" t="s">
        <v>293</v>
      </c>
      <c r="B13" s="26" t="s">
        <v>237</v>
      </c>
      <c r="C13" s="26" t="s">
        <v>133</v>
      </c>
      <c r="D13" s="26" t="s">
        <v>238</v>
      </c>
      <c r="E13" s="26" t="s">
        <v>239</v>
      </c>
      <c r="F13" s="26" t="s">
        <v>240</v>
      </c>
      <c r="G13" s="26" t="s">
        <v>241</v>
      </c>
    </row>
    <row r="14" customFormat="false" ht="19.4" hidden="false" customHeight="false" outlineLevel="0" collapsed="false">
      <c r="A14" s="38" t="s">
        <v>316</v>
      </c>
      <c r="B14" s="41" t="s">
        <v>295</v>
      </c>
      <c r="C14" s="41" t="s">
        <v>317</v>
      </c>
      <c r="D14" s="41" t="s">
        <v>318</v>
      </c>
      <c r="E14" s="41" t="s">
        <v>319</v>
      </c>
      <c r="F14" s="41" t="s">
        <v>320</v>
      </c>
      <c r="G14" s="41" t="s">
        <v>321</v>
      </c>
    </row>
    <row r="15" customFormat="false" ht="19.4" hidden="false" customHeight="false" outlineLevel="0" collapsed="false">
      <c r="A15" s="38" t="s">
        <v>322</v>
      </c>
      <c r="B15" s="41" t="s">
        <v>295</v>
      </c>
      <c r="C15" s="41" t="s">
        <v>323</v>
      </c>
      <c r="D15" s="41" t="s">
        <v>324</v>
      </c>
      <c r="E15" s="41" t="s">
        <v>325</v>
      </c>
      <c r="F15" s="41" t="s">
        <v>325</v>
      </c>
      <c r="G15" s="41" t="s">
        <v>326</v>
      </c>
    </row>
    <row r="16" customFormat="false" ht="15" hidden="false" customHeight="false" outlineLevel="0" collapsed="false">
      <c r="A16" s="38" t="s">
        <v>327</v>
      </c>
      <c r="B16" s="41" t="s">
        <v>295</v>
      </c>
      <c r="C16" s="41" t="s">
        <v>328</v>
      </c>
      <c r="D16" s="41" t="s">
        <v>328</v>
      </c>
      <c r="E16" s="41" t="s">
        <v>328</v>
      </c>
      <c r="F16" s="41" t="s">
        <v>328</v>
      </c>
      <c r="G16" s="41" t="s">
        <v>328</v>
      </c>
    </row>
    <row r="17" customFormat="false" ht="22.35" hidden="false" customHeight="false" outlineLevel="0" collapsed="false">
      <c r="A17" s="38" t="s">
        <v>329</v>
      </c>
      <c r="B17" s="41" t="s">
        <v>295</v>
      </c>
      <c r="C17" s="40" t="s">
        <v>183</v>
      </c>
      <c r="D17" s="40" t="s">
        <v>183</v>
      </c>
      <c r="E17" s="40" t="s">
        <v>183</v>
      </c>
      <c r="F17" s="40" t="s">
        <v>183</v>
      </c>
      <c r="G17" s="40" t="s">
        <v>183</v>
      </c>
    </row>
    <row r="19" customFormat="false" ht="15" hidden="false" customHeight="false" outlineLevel="0" collapsed="false">
      <c r="A19" s="15" t="s">
        <v>330</v>
      </c>
      <c r="B19" s="16"/>
      <c r="C19" s="16"/>
      <c r="D19" s="16"/>
      <c r="E19" s="16"/>
      <c r="F19" s="16"/>
      <c r="G19" s="16"/>
    </row>
    <row r="20" customFormat="false" ht="15" hidden="false" customHeight="false" outlineLevel="0" collapsed="false">
      <c r="A20" s="28" t="s">
        <v>293</v>
      </c>
      <c r="B20" s="28" t="s">
        <v>237</v>
      </c>
      <c r="C20" s="28" t="s">
        <v>133</v>
      </c>
      <c r="D20" s="28" t="s">
        <v>238</v>
      </c>
      <c r="E20" s="28" t="s">
        <v>239</v>
      </c>
      <c r="F20" s="28" t="s">
        <v>240</v>
      </c>
      <c r="G20" s="28" t="s">
        <v>241</v>
      </c>
    </row>
    <row r="21" customFormat="false" ht="22.35" hidden="false" customHeight="false" outlineLevel="0" collapsed="false">
      <c r="A21" s="38" t="s">
        <v>331</v>
      </c>
      <c r="B21" s="42" t="s">
        <v>295</v>
      </c>
      <c r="C21" s="42" t="s">
        <v>65</v>
      </c>
      <c r="D21" s="42" t="s">
        <v>65</v>
      </c>
      <c r="E21" s="42" t="s">
        <v>65</v>
      </c>
      <c r="F21" s="42" t="s">
        <v>65</v>
      </c>
      <c r="G21" s="42" t="s">
        <v>65</v>
      </c>
    </row>
    <row r="22" customFormat="false" ht="22.35" hidden="false" customHeight="false" outlineLevel="0" collapsed="false">
      <c r="A22" s="38" t="s">
        <v>332</v>
      </c>
      <c r="B22" s="42" t="s">
        <v>295</v>
      </c>
      <c r="C22" s="42" t="s">
        <v>333</v>
      </c>
      <c r="D22" s="42" t="s">
        <v>65</v>
      </c>
      <c r="E22" s="42" t="s">
        <v>65</v>
      </c>
      <c r="F22" s="42" t="s">
        <v>65</v>
      </c>
      <c r="G22" s="42" t="s">
        <v>65</v>
      </c>
    </row>
    <row r="23" customFormat="false" ht="22.35" hidden="false" customHeight="false" outlineLevel="0" collapsed="false">
      <c r="A23" s="38" t="s">
        <v>334</v>
      </c>
      <c r="B23" s="42" t="s">
        <v>295</v>
      </c>
      <c r="C23" s="42" t="s">
        <v>335</v>
      </c>
      <c r="D23" s="40" t="s">
        <v>183</v>
      </c>
      <c r="E23" s="40" t="s">
        <v>183</v>
      </c>
      <c r="F23" s="40" t="s">
        <v>183</v>
      </c>
      <c r="G23" s="40" t="s">
        <v>183</v>
      </c>
    </row>
    <row r="24" customFormat="false" ht="22.35" hidden="false" customHeight="false" outlineLevel="0" collapsed="false">
      <c r="A24" s="38" t="s">
        <v>336</v>
      </c>
      <c r="B24" s="42" t="s">
        <v>295</v>
      </c>
      <c r="C24" s="42" t="s">
        <v>335</v>
      </c>
      <c r="D24" s="40" t="s">
        <v>183</v>
      </c>
      <c r="E24" s="40" t="s">
        <v>183</v>
      </c>
      <c r="F24" s="40" t="s">
        <v>183</v>
      </c>
      <c r="G24" s="40" t="s">
        <v>183</v>
      </c>
    </row>
    <row r="25" customFormat="false" ht="22.35" hidden="false" customHeight="false" outlineLevel="0" collapsed="false">
      <c r="A25" s="38" t="s">
        <v>337</v>
      </c>
      <c r="B25" s="42" t="s">
        <v>295</v>
      </c>
      <c r="C25" s="42" t="s">
        <v>338</v>
      </c>
      <c r="D25" s="42" t="s">
        <v>338</v>
      </c>
      <c r="E25" s="42" t="s">
        <v>339</v>
      </c>
      <c r="F25" s="42" t="s">
        <v>339</v>
      </c>
      <c r="G25" s="42" t="s">
        <v>339</v>
      </c>
    </row>
    <row r="26" customFormat="false" ht="22.35" hidden="false" customHeight="false" outlineLevel="0" collapsed="false">
      <c r="A26" s="38" t="s">
        <v>340</v>
      </c>
      <c r="B26" s="42" t="s">
        <v>295</v>
      </c>
      <c r="C26" s="40" t="s">
        <v>183</v>
      </c>
      <c r="D26" s="40" t="s">
        <v>183</v>
      </c>
      <c r="E26" s="40" t="s">
        <v>183</v>
      </c>
      <c r="F26" s="42" t="s">
        <v>341</v>
      </c>
      <c r="G26" s="40" t="s">
        <v>183</v>
      </c>
    </row>
    <row r="27" customFormat="false" ht="22.35" hidden="false" customHeight="false" outlineLevel="0" collapsed="false">
      <c r="A27" s="38" t="s">
        <v>342</v>
      </c>
      <c r="B27" s="42" t="s">
        <v>295</v>
      </c>
      <c r="C27" s="42" t="s">
        <v>343</v>
      </c>
      <c r="D27" s="42" t="s">
        <v>343</v>
      </c>
      <c r="E27" s="42" t="s">
        <v>344</v>
      </c>
      <c r="F27" s="42" t="s">
        <v>343</v>
      </c>
      <c r="G27" s="42" t="s">
        <v>344</v>
      </c>
    </row>
    <row r="28" customFormat="false" ht="15" hidden="false" customHeight="false" outlineLevel="0" collapsed="false">
      <c r="A28" s="38" t="s">
        <v>345</v>
      </c>
      <c r="B28" s="42" t="s">
        <v>295</v>
      </c>
      <c r="C28" s="42" t="s">
        <v>346</v>
      </c>
      <c r="D28" s="42" t="s">
        <v>346</v>
      </c>
      <c r="E28" s="42" t="s">
        <v>346</v>
      </c>
      <c r="F28" s="42" t="s">
        <v>346</v>
      </c>
      <c r="G28" s="42" t="s">
        <v>346</v>
      </c>
    </row>
    <row r="29" customFormat="false" ht="15" hidden="false" customHeight="false" outlineLevel="0" collapsed="false">
      <c r="A29" s="38" t="s">
        <v>347</v>
      </c>
      <c r="B29" s="42" t="s">
        <v>295</v>
      </c>
      <c r="C29" s="42" t="s">
        <v>348</v>
      </c>
      <c r="D29" s="42" t="s">
        <v>348</v>
      </c>
      <c r="E29" s="42" t="s">
        <v>348</v>
      </c>
      <c r="F29" s="42" t="s">
        <v>348</v>
      </c>
      <c r="G29" s="42" t="s">
        <v>348</v>
      </c>
    </row>
    <row r="30" customFormat="false" ht="22.35" hidden="false" customHeight="false" outlineLevel="0" collapsed="false">
      <c r="A30" s="38" t="s">
        <v>349</v>
      </c>
      <c r="B30" s="42" t="s">
        <v>295</v>
      </c>
      <c r="C30" s="42" t="s">
        <v>61</v>
      </c>
      <c r="D30" s="42" t="s">
        <v>61</v>
      </c>
      <c r="E30" s="42" t="s">
        <v>61</v>
      </c>
      <c r="F30" s="42" t="s">
        <v>61</v>
      </c>
      <c r="G30" s="42" t="s">
        <v>61</v>
      </c>
    </row>
    <row r="31" customFormat="false" ht="22.35" hidden="false" customHeight="false" outlineLevel="0" collapsed="false">
      <c r="A31" s="38" t="s">
        <v>350</v>
      </c>
      <c r="B31" s="42" t="s">
        <v>295</v>
      </c>
      <c r="C31" s="40" t="s">
        <v>183</v>
      </c>
      <c r="D31" s="40" t="s">
        <v>183</v>
      </c>
      <c r="E31" s="40" t="s">
        <v>183</v>
      </c>
      <c r="F31" s="40" t="s">
        <v>183</v>
      </c>
      <c r="G31" s="40" t="s">
        <v>183</v>
      </c>
    </row>
    <row r="32" customFormat="false" ht="22.35" hidden="false" customHeight="false" outlineLevel="0" collapsed="false">
      <c r="A32" s="38" t="s">
        <v>351</v>
      </c>
      <c r="B32" s="42" t="s">
        <v>295</v>
      </c>
      <c r="C32" s="42" t="s">
        <v>352</v>
      </c>
      <c r="D32" s="42" t="s">
        <v>352</v>
      </c>
      <c r="E32" s="42" t="s">
        <v>352</v>
      </c>
      <c r="F32" s="42" t="s">
        <v>352</v>
      </c>
      <c r="G32" s="42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2026-06-06T19:11:24Z</dcterms:created>
  <dc:creator>openpyxl</dc:creator>
  <dc:description/>
  <dc:language>en-US</dc:language>
  <cp:lastModifiedBy/>
  <dcterms:modified xsi:type="dcterms:W3CDTF">2026-06-06T19:11:24Z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