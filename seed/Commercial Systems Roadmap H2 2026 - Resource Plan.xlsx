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FTE Loading (KW view)" sheetId="2" state="visible" r:id="rId4"/>
    <sheet name="Capacity &amp; Constraints" sheetId="3" state="visible" r:id="rId5"/>
    <sheet name="CRM Team (Kev) Monthly" sheetId="4" state="visible" r:id="rId6"/>
    <sheet name="SF Core (Sille) Position" sheetId="5" state="visible" r:id="rId7"/>
    <sheet name="Conflicts &amp; Decis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<sst xmlns="http://schemas.openxmlformats.org/spreadsheetml/2006/main" count="619" uniqueCount="432">
  <si>
    <t xml:space="preserve">Commercial Systems Roadmap H2 2026 - merged backlog (Kev, Sille, Jonas)</t>
  </si>
  <si>
    <t xml:space="preserve">Sources: Customer Systems Backlog H2 2026; Roadmap vs Capacity; H2 Planning meeting 27 May 2026. Built 5 Jun 2026.</t>
  </si>
  <si>
    <t xml:space="preserve">ID</t>
  </si>
  <si>
    <t xml:space="preserve">Initiative</t>
  </si>
  <si>
    <t xml:space="preserve">Driver</t>
  </si>
  <si>
    <t xml:space="preserve">Resource ask</t>
  </si>
  <si>
    <t xml:space="preserve">FTE-q ask</t>
  </si>
  <si>
    <t xml:space="preserve">Requested timing</t>
  </si>
  <si>
    <t xml:space="preserve">Planned slot</t>
  </si>
  <si>
    <t xml:space="preserve">Planned FTE</t>
  </si>
  <si>
    <t xml:space="preserve">Status</t>
  </si>
  <si>
    <t xml:space="preserve">Dependencies</t>
  </si>
  <si>
    <t xml:space="preserve">Notes</t>
  </si>
  <si>
    <t xml:space="preserve">CS-26H2-25</t>
  </si>
  <si>
    <t xml:space="preserve">Data Deduplication Implementation</t>
  </si>
  <si>
    <t xml:space="preserve">Sille</t>
  </si>
  <si>
    <t xml:space="preserve">SF Core (Nataša lead, Miranda, Pawel assist)</t>
  </si>
  <si>
    <t xml:space="preserve">2.5</t>
  </si>
  <si>
    <t xml:space="preserve">Q3 2026</t>
  </si>
  <si>
    <t xml:space="preserve">Sept-Oct 2026 (may slip to Nov)</t>
  </si>
  <si>
    <t xml:space="preserve">SF Core committed</t>
  </si>
  <si>
    <t xml:space="preserve">SF Core commitment 1 of 3</t>
  </si>
  <si>
    <t xml:space="preserve">Pre: -11 ARM. Oct absences may push completion</t>
  </si>
  <si>
    <t xml:space="preserve">One of SF Core's 3 committed deliverables. ARM is prerequisite. Oct has known absences affecting Dedupe; may push to Nov. Unblocks Customer360, My Account, Preference Centre, Email-to-Case in 2027.</t>
  </si>
  <si>
    <t xml:space="preserve">CS-26H2-01</t>
  </si>
  <si>
    <t xml:space="preserve">B2B partner data ownership to Salesforce</t>
  </si>
  <si>
    <t xml:space="preserve">Sille / Jonas</t>
  </si>
  <si>
    <t xml:space="preserve">SF Core (scoping) + Backend 2</t>
  </si>
  <si>
    <t xml:space="preserve">1.5 (scoping)</t>
  </si>
  <si>
    <t xml:space="preserve">Q3-Q4 2026</t>
  </si>
  <si>
    <t xml:space="preserve">H2: SCOPING only (~1.5 FTE-mo); impl 2027</t>
  </si>
  <si>
    <t xml:space="preserve">Pawel Q4 slack</t>
  </si>
  <si>
    <t xml:space="preserve">Negotiable - SteerCo decides</t>
  </si>
  <si>
    <t xml:space="preserve">Pre: -25 Dedup. Post: -20 Commission. Needs PG to engage</t>
  </si>
  <si>
    <t xml:space="preserve">SF Core position: scoping in H2 only, implementation 2027. Only SteerCo 'Data &amp; Systems' component that sits with SF Core. Lands in Pawel's Q4 slack if PG engages.</t>
  </si>
  <si>
    <t xml:space="preserve">CS-26H2-09</t>
  </si>
  <si>
    <t xml:space="preserve">Lighthouse Phase 2</t>
  </si>
  <si>
    <t xml:space="preserve">SF Core (Miranda+Nataša+Arthur)</t>
  </si>
  <si>
    <t xml:space="preserve">Q3 light ramp (scoping) + Q4 full</t>
  </si>
  <si>
    <t xml:space="preserve">Sales/Service + CX scope brief; IVR/Connect transcripts; Aug AI hackathon</t>
  </si>
  <si>
    <t xml:space="preserve">One of SF Core's 3 committed deliverables. Scope undefined (AI entry point, next best action, case dispositions, call summaries, web context). Phase 2 build ramps Sept as Arthur returns. What lands H2 vs 2027 is the discussion.</t>
  </si>
  <si>
    <t xml:space="preserve">CS-26-H2-30</t>
  </si>
  <si>
    <t xml:space="preserve">My Account (SF user identification &amp; mgmt)</t>
  </si>
  <si>
    <t xml:space="preserve">SF Core 2-3, Backend 1</t>
  </si>
  <si>
    <t xml:space="preserve">2-3</t>
  </si>
  <si>
    <t xml:space="preserve">Q3-Q4 2026 (pinned)</t>
  </si>
  <si>
    <t xml:space="preserve">SF Core says Q1-Q2 2027</t>
  </si>
  <si>
    <t xml:space="preserve">-</t>
  </si>
  <si>
    <t xml:space="preserve">CONFLICT: pinned Q3 vs SF Core 2027</t>
  </si>
  <si>
    <t xml:space="preserve">Pre: -25 Dedup must complete first</t>
  </si>
  <si>
    <t xml:space="preserve">CONFLICT to resolve. Sverre pinned Q3; SF Core says realistic only 2027 (needs Dedupe done first). Digital Products owns customer-facing side. Activation was already late Sep/early Oct to avoid Lighthouse collision.</t>
  </si>
  <si>
    <t xml:space="preserve">CS-26H2-06</t>
  </si>
  <si>
    <t xml:space="preserve">New payment methods (Apple Pay, Google Pay, Vipps)</t>
  </si>
  <si>
    <t xml:space="preserve">Jonas</t>
  </si>
  <si>
    <t xml:space="preserve">Backend 1</t>
  </si>
  <si>
    <t xml:space="preserve">1.0</t>
  </si>
  <si>
    <t xml:space="preserve">1.0 (BE)</t>
  </si>
  <si>
    <t xml:space="preserve">Committed Q3</t>
  </si>
  <si>
    <t xml:space="preserve">Treasury approval; Commercial prioritisation</t>
  </si>
  <si>
    <t xml:space="preserve">'More or less ready to go' - test environment setup and accounts.</t>
  </si>
  <si>
    <t xml:space="preserve">CS-26-H2-23</t>
  </si>
  <si>
    <t xml:space="preserve">Commercial platform (security + backups subset first)</t>
  </si>
  <si>
    <t xml:space="preserve">Platform 1, Backend 1</t>
  </si>
  <si>
    <t xml:space="preserve">2.0</t>
  </si>
  <si>
    <t xml:space="preserve">Q3 2026 (subset)</t>
  </si>
  <si>
    <t xml:space="preserve">1.0 (Platform)</t>
  </si>
  <si>
    <t xml:space="preserve">Off-site backups, env refresh automation, Linux support, Seaware load testing (feeds -24).</t>
  </si>
  <si>
    <t xml:space="preserve">CS-26-H2-28</t>
  </si>
  <si>
    <t xml:space="preserve">BaU Q3 2026</t>
  </si>
  <si>
    <t xml:space="preserve">All (SF/SFMC/DC)</t>
  </si>
  <si>
    <t xml:space="preserve">20% reserve</t>
  </si>
  <si>
    <t xml:space="preserve">~1.0</t>
  </si>
  <si>
    <t xml:space="preserve">20%</t>
  </si>
  <si>
    <t xml:space="preserve">Protected reserve; intake discipline required.</t>
  </si>
  <si>
    <t xml:space="preserve">CS-26H2-07</t>
  </si>
  <si>
    <t xml:space="preserve">Marketing Consent Preference model incl Double Opt-In</t>
  </si>
  <si>
    <t xml:space="preserve">Kev</t>
  </si>
  <si>
    <t xml:space="preserve">CRM/SFMC + SF Core commitment</t>
  </si>
  <si>
    <t xml:space="preserve">1.5</t>
  </si>
  <si>
    <t xml:space="preserve">CONFLICT: Kev Nov-Dec vs SF Core 2027</t>
  </si>
  <si>
    <t xml:space="preserve">Kev 1/mo Nov-Dec</t>
  </si>
  <si>
    <t xml:space="preserve">CONFLICT: timing &amp; ownership</t>
  </si>
  <si>
    <t xml:space="preserve">Pre for -10; needs consent data clean-up first</t>
  </si>
  <si>
    <t xml:space="preserve">CONFLICT. Kev plans Nov-Dec (needs SF Core commitment); SF Core says 2027, CX/Business owned. Depends on consent data clean-up. Kev P1: 'massive change - cannot be underestimated'.</t>
  </si>
  <si>
    <t xml:space="preserve">CS-26-H2-26</t>
  </si>
  <si>
    <t xml:space="preserve">Incident Management for IROPS (finish)</t>
  </si>
  <si>
    <t xml:space="preserve">SF Core 1</t>
  </si>
  <si>
    <t xml:space="preserve">0.5</t>
  </si>
  <si>
    <t xml:space="preserve">Pawel Q4 slack (negotiable)</t>
  </si>
  <si>
    <t xml:space="preserve">~0.5 FTE-mo</t>
  </si>
  <si>
    <t xml:space="preserve">Negotiable - SF Core call</t>
  </si>
  <si>
    <t xml:space="preserve">~80% complete, paused by Lighthouse. Small close-out; could land in Pawel's Q4 slack.</t>
  </si>
  <si>
    <t xml:space="preserve">CS-26-H2-24</t>
  </si>
  <si>
    <t xml:space="preserve">Seaware production to OCI</t>
  </si>
  <si>
    <t xml:space="preserve">Backend 3, Platform 1</t>
  </si>
  <si>
    <t xml:space="preserve">3.0</t>
  </si>
  <si>
    <t xml:space="preserve">Q4 2026</t>
  </si>
  <si>
    <t xml:space="preserve">3.0 (BE+Pl)</t>
  </si>
  <si>
    <t xml:space="preserve">Committed Q4</t>
  </si>
  <si>
    <t xml:space="preserve">Load testing in stage (via -23) before cutover</t>
  </si>
  <si>
    <t xml:space="preserve">Go-live burst: 3-4 backend + dev team for cutover window. 'Low hanging fruit, almost done'.</t>
  </si>
  <si>
    <t xml:space="preserve">CS-26-H2-29</t>
  </si>
  <si>
    <t xml:space="preserve">BaU Q4 2026</t>
  </si>
  <si>
    <t xml:space="preserve">Protected reserve.</t>
  </si>
  <si>
    <t xml:space="preserve">CS-26-H2-11</t>
  </si>
  <si>
    <t xml:space="preserve">PG SF Person Account Integration (ARM)</t>
  </si>
  <si>
    <t xml:space="preserve">SF Core (Pawel lead, Miranda)</t>
  </si>
  <si>
    <t xml:space="preserve">Q1-Q3 2026</t>
  </si>
  <si>
    <t xml:space="preserve">Jul-Sept 2026 (SF Core)</t>
  </si>
  <si>
    <t xml:space="preserve">PG-side delivery Aug-Sept (HIGH); any PG slip cascades</t>
  </si>
  <si>
    <t xml:space="preserve">One of SF Core's 3 committed deliverables. Prerequisite (gate) for Dedupe. Critical path: ARM&gt;Dedupe&gt;2027 unlocks. NOTE: Kev's sheet also shows ARM Aug-Oct on CRM/DC team - clarify ownership/overlap.</t>
  </si>
  <si>
    <t xml:space="preserve">CS-26-H2-10</t>
  </si>
  <si>
    <t xml:space="preserve">Preference Centre on Email / Web</t>
  </si>
  <si>
    <t xml:space="preserve">CRM/SFMC + SF Core</t>
  </si>
  <si>
    <t xml:space="preserve">CONFLICT: timing &amp; sponsorship</t>
  </si>
  <si>
    <t xml:space="preserve">Pre: -07 Consent (which needs data clean-up); sponsorship not confirmed</t>
  </si>
  <si>
    <t xml:space="preserve">CONFLICT. Kev plans Nov-Dec; SF Core says 2027, CX/SFMC. Sponsorship (Michelle/Jenny) not confirmed.</t>
  </si>
  <si>
    <t xml:space="preserve">CS-26H2-08</t>
  </si>
  <si>
    <t xml:space="preserve">Lighthouse: Agentforce Quality Management pilot</t>
  </si>
  <si>
    <t xml:space="preserve">SF Core 2, QA 1</t>
  </si>
  <si>
    <t xml:space="preserve">Q1 2027</t>
  </si>
  <si>
    <t xml:space="preserve">2.0 (SF)</t>
  </si>
  <si>
    <t xml:space="preserve">Deferred to Q1 27</t>
  </si>
  <si>
    <t xml:space="preserve">Call transcripts from Amazon Connect in SF</t>
  </si>
  <si>
    <t xml:space="preserve">Decision-shaped pilot incl. go/no-go for scale-up; post-Lighthouse capacity.</t>
  </si>
  <si>
    <t xml:space="preserve">CS-26-H2-13</t>
  </si>
  <si>
    <t xml:space="preserve">Salesforce Comms Triggers (CCE)</t>
  </si>
  <si>
    <t xml:space="preserve">SF 1-2, SFMC 1, CX 1</t>
  </si>
  <si>
    <t xml:space="preserve">1.5 (SF)</t>
  </si>
  <si>
    <t xml:space="preserve">CX strategy and activation</t>
  </si>
  <si>
    <t xml:space="preserve">CCE wired after consent substrate.</t>
  </si>
  <si>
    <t xml:space="preserve">CS-26-H2-27</t>
  </si>
  <si>
    <t xml:space="preserve">Email-to-Case</t>
  </si>
  <si>
    <t xml:space="preserve">SF Core 1-2, Business 1-2</t>
  </si>
  <si>
    <t xml:space="preserve">1-2</t>
  </si>
  <si>
    <t xml:space="preserve">Q1-Q2 2027 (SF Core position)</t>
  </si>
  <si>
    <t xml:space="preserve">Deferred to 2027</t>
  </si>
  <si>
    <t xml:space="preserve">Pre: -25 Dedupe complete; needs business resource (1-2 FTE)</t>
  </si>
  <si>
    <t xml:space="preserve">SF Core: sequence after Dedupe, needs business/IT-OT resource alongside SF. 2027.</t>
  </si>
  <si>
    <t xml:space="preserve">CS-26-H2-22</t>
  </si>
  <si>
    <t xml:space="preserve">Partner API v2</t>
  </si>
  <si>
    <t xml:space="preserve">Backend 2</t>
  </si>
  <si>
    <t xml:space="preserve">4.0</t>
  </si>
  <si>
    <t xml:space="preserve">Q1 27 (build) + Q2 27 (deprecation/migration)</t>
  </si>
  <si>
    <t xml:space="preserve">2.0 + 1.0 (BE)</t>
  </si>
  <si>
    <t xml:space="preserve">Re-phased across year</t>
  </si>
  <si>
    <t xml:space="preserve">May need SF work for API signup automation</t>
  </si>
  <si>
    <t xml:space="preserve">Jyhe dedicated rest of year + Lasse &gt;=50%. Only backend item 'set in stone'. v1 sunset target moves with re-phasing.</t>
  </si>
  <si>
    <t xml:space="preserve">CS-26-H2-21</t>
  </si>
  <si>
    <t xml:space="preserve">Bynder integration (Partner API)</t>
  </si>
  <si>
    <t xml:space="preserve">Jonas / Kev</t>
  </si>
  <si>
    <t xml:space="preserve">Backend 1, SFMC 1, B2X 1</t>
  </si>
  <si>
    <t xml:space="preserve">Contentful updated with Bynder links</t>
  </si>
  <si>
    <t xml:space="preserve">Small task per Jonas (Lasse). Levelled to Q1 27 for capacity.</t>
  </si>
  <si>
    <t xml:space="preserve">CS-26-H2-17</t>
  </si>
  <si>
    <t xml:space="preserve">CRM Segmentation Support</t>
  </si>
  <si>
    <t xml:space="preserve">CRM/DC team (Kev)</t>
  </si>
  <si>
    <t xml:space="preserve">Jul-Dec 2026 (CRM team)</t>
  </si>
  <si>
    <t xml:space="preserve">1.0-&gt;0.25/mo (CRM)</t>
  </si>
  <si>
    <t xml:space="preserve">CRM-planned H2 (reconciled)</t>
  </si>
  <si>
    <t xml:space="preserve">CX strategies and briefs; same scarce DC resource as Agentforce</t>
  </si>
  <si>
    <t xml:space="preserve">Capacity page deferred to Q2 27 as one SF pool; Kev carries it on CRM/DC team Jul-Dec. Pulls the Data Engineer gap.</t>
  </si>
  <si>
    <t xml:space="preserve">CS-26-H2-14</t>
  </si>
  <si>
    <t xml:space="preserve">Salesforce Data Support (mobile cleansing, DACH bug)</t>
  </si>
  <si>
    <t xml:space="preserve">SF 1, SFMC 1</t>
  </si>
  <si>
    <t xml:space="preserve">Q2 2027</t>
  </si>
  <si>
    <t xml:space="preserve">1.0 (SF)</t>
  </si>
  <si>
    <t xml:space="preserve">Deferred to Q2 27</t>
  </si>
  <si>
    <t xml:space="preserve">Levelled for capacity.</t>
  </si>
  <si>
    <t xml:space="preserve">CS-26-H2-12</t>
  </si>
  <si>
    <t xml:space="preserve">AirPort Express Automation B2B (Flytoget)</t>
  </si>
  <si>
    <t xml:space="preserve">SF 1, SFMC 2</t>
  </si>
  <si>
    <t xml:space="preserve">CS-26-H2-20</t>
  </si>
  <si>
    <t xml:space="preserve">Commission on Tour elements</t>
  </si>
  <si>
    <t xml:space="preserve">2026 (scope TBD)</t>
  </si>
  <si>
    <t xml:space="preserve">2.0 (BE)</t>
  </si>
  <si>
    <t xml:space="preserve">Pre: -01 partner data</t>
  </si>
  <si>
    <t xml:space="preserve">Biggest external-stakeholder ask. Cathrine/Per Martin/Astrid must be told this quarter. Scoping workshop early H2 (per Jonas).</t>
  </si>
  <si>
    <t xml:space="preserve">CS-26H2-05</t>
  </si>
  <si>
    <t xml:space="preserve">SFS / Fidelio stabilisation (investigation)</t>
  </si>
  <si>
    <t xml:space="preserve">Backend 2, Automation 1</t>
  </si>
  <si>
    <t xml:space="preserve">Q2 2027 (investigation start)</t>
  </si>
  <si>
    <t xml:space="preserve">1.5 (BE+DC)</t>
  </si>
  <si>
    <t xml:space="preserve">Discovery may pull in Salesforce</t>
  </si>
  <si>
    <t xml:space="preserve">Needs dedicated investigation, not firefighting. Lowest cost-of-delay; no external pin.</t>
  </si>
  <si>
    <t xml:space="preserve">CS-26-H2-16</t>
  </si>
  <si>
    <t xml:space="preserve">Review Platform Integration (Trustpilot)</t>
  </si>
  <si>
    <t xml:space="preserve">Jul-Nov 2026 (CRM team)</t>
  </si>
  <si>
    <t xml:space="preserve">0.5/mo (CRM)</t>
  </si>
  <si>
    <t xml:space="preserve">Platform decision; Michelle to ratify timeline</t>
  </si>
  <si>
    <t xml:space="preserve">Capacity page descoped it as one SF pool; Kev carries it on the CRM/DC sub-team. Stays IN. SF Core / Data Cloud integration hooks still need confirming.</t>
  </si>
  <si>
    <t xml:space="preserve">CS-26-H2-18</t>
  </si>
  <si>
    <t xml:space="preserve">Travel Docs - Phase 1 (DocForge into SFMC/Web)</t>
  </si>
  <si>
    <t xml:space="preserve">Kev / Jonas</t>
  </si>
  <si>
    <t xml:space="preserve">CRM team (Kev) + Backend 1</t>
  </si>
  <si>
    <t xml:space="preserve">Jul-Oct 2026 (CRM) - backend gated</t>
  </si>
  <si>
    <t xml:space="preserve">1.0-&gt;0.5/mo (CRM)</t>
  </si>
  <si>
    <t xml:space="preserve">CRM-planned H2; backend is the gate</t>
  </si>
  <si>
    <t xml:space="preserve">CX designs/resources; DocForge POC-to-Service (Backend)</t>
  </si>
  <si>
    <t xml:space="preserve">CRM-side fits Kev's plan. Constraint is Backend (Jonas) + DocForge service path, which capacity plan put at 27H2. Decide backend slot.</t>
  </si>
  <si>
    <t xml:space="preserve">CS-26H2-03</t>
  </si>
  <si>
    <t xml:space="preserve">Agent-portal for top CSC flows</t>
  </si>
  <si>
    <t xml:space="preserve">Backend 1, B2X Frontend 1</t>
  </si>
  <si>
    <t xml:space="preserve">UNRESOLVED - no slot in capacity plan</t>
  </si>
  <si>
    <t xml:space="preserve">Unresolved - needs decision</t>
  </si>
  <si>
    <t xml:space="preserve">Opens shared REST API surface to B2X and SF; BDA removal goal</t>
  </si>
  <si>
    <t xml:space="preserve">Backend FTE not allocated in quarterly plan. Either slot explicitly (displaces ~1 BE FTE-q) or defer.</t>
  </si>
  <si>
    <t xml:space="preserve">CS-26H2-04</t>
  </si>
  <si>
    <t xml:space="preserve">Automate loading and IROPS tasks</t>
  </si>
  <si>
    <t xml:space="preserve">Process owners define automation rules</t>
  </si>
  <si>
    <t xml:space="preserve">Candidate to absorb into Backend ops/automation envelope or defer; decide explicitly.</t>
  </si>
  <si>
    <t xml:space="preserve">CS-26-H2-15</t>
  </si>
  <si>
    <t xml:space="preserve">CSC Sales &amp; Groups Live Reporting</t>
  </si>
  <si>
    <t xml:space="preserve">SF 1-2, Data Cloud 1</t>
  </si>
  <si>
    <t xml:space="preserve">NO S&amp;S team adoption</t>
  </si>
  <si>
    <t xml:space="preserve">SF has zero Q3 headroom; earliest realistic slot Q1 27 unless something else moves.</t>
  </si>
  <si>
    <t xml:space="preserve">Planned FTE loading vs capacity (FTE-quarters) - KW top-down alignment scenario</t>
  </si>
  <si>
    <t xml:space="preserve">NOTE: one balancing scenario. Superseded in places by the bottom-up team positions (see SF Core, CRM Team, Conflicts tabs). SF here = combined pool; in reality SF Core (Sille) and CRM (Kev) are separate teams.</t>
  </si>
  <si>
    <t xml:space="preserve">Stream</t>
  </si>
  <si>
    <t xml:space="preserve">Capacity/q</t>
  </si>
  <si>
    <t xml:space="preserve">SF</t>
  </si>
  <si>
    <t xml:space="preserve">Backend</t>
  </si>
  <si>
    <t xml:space="preserve">Platform</t>
  </si>
  <si>
    <t xml:space="preserve">Total planned</t>
  </si>
  <si>
    <t xml:space="preserve">Headroom vs 9.0</t>
  </si>
  <si>
    <t xml:space="preserve">Allocation detail</t>
  </si>
  <si>
    <t xml:space="preserve">Quarter</t>
  </si>
  <si>
    <t xml:space="preserve">FTE</t>
  </si>
  <si>
    <t xml:space="preserve">CS-26H2-25 Dedup</t>
  </si>
  <si>
    <t xml:space="preserve">CS-26H2-01 Partner data (scope+model)</t>
  </si>
  <si>
    <t xml:space="preserve">CS-26H2-09 Lighthouse Ph2 (trimmed)</t>
  </si>
  <si>
    <t xml:space="preserve">CS-26-H2-30 My Account Ph1</t>
  </si>
  <si>
    <t xml:space="preserve">CS-26H2-06 New payment methods</t>
  </si>
  <si>
    <t xml:space="preserve">CS-26-H2-23 Commercial platform (subset)</t>
  </si>
  <si>
    <t xml:space="preserve">CS-26H2-01 Partner data (implementation)</t>
  </si>
  <si>
    <t xml:space="preserve">CS-26-H2-30 My Account Ph2</t>
  </si>
  <si>
    <t xml:space="preserve">CS-26H2-07 Marketing Consent backend</t>
  </si>
  <si>
    <t xml:space="preserve">CS-26-H2-26 IROPS Incident Mgmt (finish)</t>
  </si>
  <si>
    <t xml:space="preserve">CS-26-H2-24 Seaware to OCI</t>
  </si>
  <si>
    <t xml:space="preserve">CS-26-H2-10 Preference Centre</t>
  </si>
  <si>
    <t xml:space="preserve">CS-26H2-08 Agentforce QM pilot</t>
  </si>
  <si>
    <t xml:space="preserve">CS-26-H2-13 SF Comms Triggers</t>
  </si>
  <si>
    <t xml:space="preserve">CS-26-H2-27 Email-to-Case (start)</t>
  </si>
  <si>
    <t xml:space="preserve">CS-26-H2-22 Partner API v2 (build)</t>
  </si>
  <si>
    <t xml:space="preserve">CS-26-H2-21 Bynder integration</t>
  </si>
  <si>
    <t xml:space="preserve">CS-26-H2-17 CRM Segmentation</t>
  </si>
  <si>
    <t xml:space="preserve">CS-26-H2-14 SF Data Support</t>
  </si>
  <si>
    <t xml:space="preserve">CS-26-H2-12 AirPort Express B2B</t>
  </si>
  <si>
    <t xml:space="preserve">CS-26-H2-27 Email-to-Case (finish)</t>
  </si>
  <si>
    <t xml:space="preserve">CS-26-H2-11 ARM Phase 2 tail</t>
  </si>
  <si>
    <t xml:space="preserve">CS-26-H2-22 Partner API v2 (deprecation)</t>
  </si>
  <si>
    <t xml:space="preserve">CS-26-H2-20 Commission on Tour elements</t>
  </si>
  <si>
    <t xml:space="preserve">CS-26H2-05 SFS/Fidelio investigation</t>
  </si>
  <si>
    <t xml:space="preserve">Capacity baseline (per quarter)</t>
  </si>
  <si>
    <t xml:space="preserve">Bodies</t>
  </si>
  <si>
    <t xml:space="preserve">Ops draw</t>
  </si>
  <si>
    <t xml:space="preserve">BaU reserve</t>
  </si>
  <si>
    <t xml:space="preserve">Project capacity / quarter</t>
  </si>
  <si>
    <t xml:space="preserve">Salesforce (Kev + Sille pools)</t>
  </si>
  <si>
    <t xml:space="preserve">8.0</t>
  </si>
  <si>
    <t xml:space="preserve">2.5 total (Hanif Ops-only + 1.5 across bodies)</t>
  </si>
  <si>
    <t xml:space="preserve">~1.0 (20%)</t>
  </si>
  <si>
    <t xml:space="preserve">5.5 FTE</t>
  </si>
  <si>
    <t xml:space="preserve">Backend + Platform (Kato chapter + Jonas)</t>
  </si>
  <si>
    <t xml:space="preserve">7.0 (Ove 50%, Jonas 0.5 IC)</t>
  </si>
  <si>
    <t xml:space="preserve">maintenance buffer</t>
  </si>
  <si>
    <t xml:space="preserve">4.0 FTE (~3.5 after buffer)</t>
  </si>
  <si>
    <t xml:space="preserve">Combined</t>
  </si>
  <si>
    <t xml:space="preserve">15.0</t>
  </si>
  <si>
    <t xml:space="preserve">4.5 + Hanif</t>
  </si>
  <si>
    <t xml:space="preserve">~9 FTE per quarter</t>
  </si>
  <si>
    <t xml:space="preserve">Availability constraints (from Sverre 2026-05-26 + H2 planning meeting):</t>
  </si>
  <si>
    <t xml:space="preserve">- Serhii Volynets, Rasmus Mohr, Anders Harbo unavailable Q3/Q4 2026</t>
  </si>
  <si>
    <t xml:space="preserve">- Hanif = Ops only; Kirill Harjo = QA, 100% allocated; Alexander Rostum &amp; Kato Klaeboe manager-only</t>
  </si>
  <si>
    <t xml:space="preserve">- Kev's project pool = Kev + Ismail Ferullo + Guljar Shaikh; ~25% on BAU/ops support; vacation coverage needed over next six months</t>
  </si>
  <si>
    <t xml:space="preserve">- Sille's pool = Sille + Arthur + Miranda + Natasa + Pawel; Jul-Aug effective 1.8 FTE, Sep onwards 2.4 FTE; 20% BAU + 20% on-call; no slack for sickness</t>
  </si>
  <si>
    <t xml:space="preserve">- Pawel sole resource on ARM until ~Aug; Miranda needed at the finish line</t>
  </si>
  <si>
    <t xml:space="preserve">- Backend: Jyhe dedicated to Partner API rest of year, Lasse &gt;=50% + Bynder; 'nothing set in stone except Partner API'</t>
  </si>
  <si>
    <t xml:space="preserve">- Seaware OCI go-live needs burst of 3-4 backend + dev team for cutover window (Q4)</t>
  </si>
  <si>
    <t xml:space="preserve">- Espen on security roadmap (tasks TBD); unknown compliance requirements may land</t>
  </si>
  <si>
    <t xml:space="preserve">CRM / SFMC / Data Cloud team - monthly plan (Kev Gaisford)</t>
  </si>
  <si>
    <t xml:space="preserve">Team = Kev + Guljar + Ismail (3 people). Source: Kev resourcing view, 6 Jun 2026. ** excludes vacation.</t>
  </si>
  <si>
    <t xml:space="preserve">July</t>
  </si>
  <si>
    <t xml:space="preserve">August</t>
  </si>
  <si>
    <t xml:space="preserve">Sept</t>
  </si>
  <si>
    <t xml:space="preserve">Oct</t>
  </si>
  <si>
    <t xml:space="preserve">Nov</t>
  </si>
  <si>
    <t xml:space="preserve">Dec</t>
  </si>
  <si>
    <t xml:space="preserve">Travel Docs</t>
  </si>
  <si>
    <t xml:space="preserve">CRM Segmentation</t>
  </si>
  <si>
    <t xml:space="preserve">Compass CRM Reporting</t>
  </si>
  <si>
    <t xml:space="preserve">TrustPilot</t>
  </si>
  <si>
    <t xml:space="preserve">AirPort Express B2B</t>
  </si>
  <si>
    <t xml:space="preserve">Voice of Customer</t>
  </si>
  <si>
    <t xml:space="preserve">ARM</t>
  </si>
  <si>
    <t xml:space="preserve">Dedupe</t>
  </si>
  <si>
    <t xml:space="preserve">Consent Management*</t>
  </si>
  <si>
    <t xml:space="preserve">Preference Center*</t>
  </si>
  <si>
    <t xml:space="preserve">Support / Ops</t>
  </si>
  <si>
    <t xml:space="preserve">* Need commitment from SF Core (Consent before Preference Center)</t>
  </si>
  <si>
    <t xml:space="preserve">** Does not include vacation</t>
  </si>
  <si>
    <t xml:space="preserve">NOT PLANNED - no CRM capacity (needs SF Core / other team or descope)</t>
  </si>
  <si>
    <t xml:space="preserve">Lighthouse 2</t>
  </si>
  <si>
    <t xml:space="preserve">B2B Data Ownership downstream</t>
  </si>
  <si>
    <t xml:space="preserve">Commercial NorthStar - Groups Ops Report</t>
  </si>
  <si>
    <t xml:space="preserve">Brochure Fulfillment Automation</t>
  </si>
  <si>
    <t xml:space="preserve">Kev's headline: 'In a word, no.' Team needs a dedicated Data Engineer. CRM Segmentation + Agentforce pull the same scarce resource.</t>
  </si>
  <si>
    <t xml:space="preserve">Gap is being plugged by Kev building solutions himself, displacing the Product Owner role (direction, prioritisation, stakeholder management).</t>
  </si>
  <si>
    <t xml:space="preserve">SF Core H2 2026 - Position (Sille Antonsen)</t>
  </si>
  <si>
    <t xml:space="preserve">Team = Pawel, Nataša, Miranda, Arthur (4 delivery FTE) + Sille as Project Owner on top. SEPARATE pool from Kev's CRM team.</t>
  </si>
  <si>
    <t xml:space="preserve">Capacity (best case, before holidays + TOIL)</t>
  </si>
  <si>
    <t xml:space="preserve">Jul-Aug</t>
  </si>
  <si>
    <t xml:space="preserve">Sept-Dec</t>
  </si>
  <si>
    <t xml:space="preserve">Delivery team (nominal)</t>
  </si>
  <si>
    <t xml:space="preserve">Arthur out for summer holiday Jul-Aug</t>
  </si>
  <si>
    <t xml:space="preserve">Minus BaU (20%)</t>
  </si>
  <si>
    <t xml:space="preserve">-0.6</t>
  </si>
  <si>
    <t xml:space="preserve">-0.8</t>
  </si>
  <si>
    <t xml:space="preserve">Rotated, non-negotiable floor</t>
  </si>
  <si>
    <t xml:space="preserve">Minus On Call (20%)</t>
  </si>
  <si>
    <t xml:space="preserve">Daily coverage incl. weekends (Lighthouse/Omni consequence)</t>
  </si>
  <si>
    <t xml:space="preserve">Available for project work</t>
  </si>
  <si>
    <t xml:space="preserve">1.8</t>
  </si>
  <si>
    <t xml:space="preserve">2.4</t>
  </si>
  <si>
    <t xml:space="preserve">~13 FTE-months across H2</t>
  </si>
  <si>
    <t xml:space="preserve">The three committed deliverables</t>
  </si>
  <si>
    <t xml:space="preserve">When</t>
  </si>
  <si>
    <t xml:space="preserve">Team</t>
  </si>
  <si>
    <t xml:space="preserve">Why critical</t>
  </si>
  <si>
    <t xml:space="preserve">H2-11</t>
  </si>
  <si>
    <t xml:space="preserve">ARM (Person Account integration)</t>
  </si>
  <si>
    <t xml:space="preserve">Jul-Sept</t>
  </si>
  <si>
    <t xml:space="preserve">Pawel lead, Miranda</t>
  </si>
  <si>
    <t xml:space="preserve">Prerequisite (gate) for Dedupe; PG dependency; already in flight</t>
  </si>
  <si>
    <t xml:space="preserve">H2-25</t>
  </si>
  <si>
    <t xml:space="preserve">Dedupe (SF master for person data)</t>
  </si>
  <si>
    <t xml:space="preserve">Sept-Oct</t>
  </si>
  <si>
    <t xml:space="preserve">Nataša + Miranda, Pawel assist</t>
  </si>
  <si>
    <t xml:space="preserve">Unblocks Customer360, My Account, Pref Centre, Email-to-Case in 2027. Oct absences may push to Nov</t>
  </si>
  <si>
    <t xml:space="preserve">H2-09</t>
  </si>
  <si>
    <t xml:space="preserve">Q3 light ramp + Q4 full</t>
  </si>
  <si>
    <t xml:space="preserve">Miranda lead, Nataša + Arthur</t>
  </si>
  <si>
    <t xml:space="preserve">Scope undefined; ramps Sept as Arthur returns; what lands H2 vs 2027 is the discussion</t>
  </si>
  <si>
    <t xml:space="preserve">Critical path: ARM (Jul-Sept) &gt; Dedupe (Sept-Oct, ARM prerequisite) &gt; downstream unlocks 2027. Miranda is the Sept crunch pivot (on all three).</t>
  </si>
  <si>
    <t xml:space="preserve">Up for discussion - depends on value from SteerCo (could land in Pawel's Q4 slack, or push the three out)</t>
  </si>
  <si>
    <t xml:space="preserve">Item</t>
  </si>
  <si>
    <t xml:space="preserve">Position</t>
  </si>
  <si>
    <t xml:space="preserve">Rough size</t>
  </si>
  <si>
    <t xml:space="preserve">Who decides</t>
  </si>
  <si>
    <t xml:space="preserve">H2-26</t>
  </si>
  <si>
    <t xml:space="preserve">IROPS Incident Mgmt (finish)</t>
  </si>
  <si>
    <t xml:space="preserve">~80% done, paused by Lighthouse; small close-out</t>
  </si>
  <si>
    <t xml:space="preserve">SF Core call</t>
  </si>
  <si>
    <t xml:space="preserve">H2-01</t>
  </si>
  <si>
    <t xml:space="preserve">B2B Data Ownership (scoping)</t>
  </si>
  <si>
    <t xml:space="preserve">Scoping in H2 only; impl 2027; if PG engages</t>
  </si>
  <si>
    <t xml:space="preserve">~1.5 FTE-mo</t>
  </si>
  <si>
    <t xml:space="preserve">SteerCo</t>
  </si>
  <si>
    <t xml:space="preserve">H2-30</t>
  </si>
  <si>
    <t xml:space="preserve">My Account</t>
  </si>
  <si>
    <t xml:space="preserve">Wants Dedupe done first; realistic only 2027</t>
  </si>
  <si>
    <t xml:space="preserve">2-3 FTE</t>
  </si>
  <si>
    <t xml:space="preserve">Digital Products</t>
  </si>
  <si>
    <t xml:space="preserve">H2-27</t>
  </si>
  <si>
    <t xml:space="preserve">Needs business resource; after Dedupe; 2027</t>
  </si>
  <si>
    <t xml:space="preserve">1-2 FTE</t>
  </si>
  <si>
    <t xml:space="preserve">IT/OT + business</t>
  </si>
  <si>
    <t xml:space="preserve">H2-10</t>
  </si>
  <si>
    <t xml:space="preserve">Preference Center</t>
  </si>
  <si>
    <t xml:space="preserve">Depends on H2-07; sponsorship not confirmed; 2027</t>
  </si>
  <si>
    <t xml:space="preserve">1 FTE</t>
  </si>
  <si>
    <t xml:space="preserve">CX / SFMC</t>
  </si>
  <si>
    <t xml:space="preserve">H2-07</t>
  </si>
  <si>
    <t xml:space="preserve">Marketing Consent + Opt-In</t>
  </si>
  <si>
    <t xml:space="preserve">Depends on consent data clean-up; gates H2-10</t>
  </si>
  <si>
    <t xml:space="preserve">TBD</t>
  </si>
  <si>
    <t xml:space="preserve">CX / Business</t>
  </si>
  <si>
    <t xml:space="preserve">Open risks (SF Core wants surfaced at prioritisation):</t>
  </si>
  <si>
    <t xml:space="preserve">- Capacity vs SteerCo expectation (HIGH): SteerCo 'Data &amp; Systems' assumes nominal headcount; real project capacity is 2.4 FTE. Of VAT/Commission/B2B, only H2-01 sits with SF Core (scoping only).</t>
  </si>
  <si>
    <t xml:space="preserve">- Miranda's September crunch (HIGH): ARM close + Dedupe start + Phase 2 ramp all converge on Miranda. Sequencing risk; backup needed.</t>
  </si>
  <si>
    <t xml:space="preserve">- ARM PG dependency (HIGH): one named SF resource (Pawel) + PG-side delivery Aug-Sept. Any PG slip cascades into Dedupe and the whole critical path.</t>
  </si>
  <si>
    <t xml:space="preserve">- Holidays + TOIL not in the 2.4 number (MED): Oct absences hit Dedupe; Phase 1 TOIL not drawn down.</t>
  </si>
  <si>
    <t xml:space="preserve">- Phase 2 scope undefined (MED): without a scoped brief from Sales/Service + CX, Phase 2 ramps into open work.</t>
  </si>
  <si>
    <t xml:space="preserve">- On Call not formally established (MED): without a Norwegian vakttjeneste rota, incidents eat project capacity reactively.</t>
  </si>
  <si>
    <t xml:space="preserve">- Go-lives cannot be stacked: ARM and Dedupe go-lives cannot share a weekend; hypercare eats 2-4 weeks per release on top of On Call.</t>
  </si>
  <si>
    <t xml:space="preserve">Cross-team conflicts &amp; decisions for SteerCo / prioritisation</t>
  </si>
  <si>
    <t xml:space="preserve">Where the three team positions (Kev, Sille, Jonas) and the KW alignment view disagree. Each needs an explicit decision.</t>
  </si>
  <si>
    <t xml:space="preserve">#</t>
  </si>
  <si>
    <t xml:space="preserve">Decision</t>
  </si>
  <si>
    <t xml:space="preserve">Positions in tension</t>
  </si>
  <si>
    <t xml:space="preserve">Recommended resolution</t>
  </si>
  <si>
    <t xml:space="preserve">Owner</t>
  </si>
  <si>
    <t xml:space="preserve">1</t>
  </si>
  <si>
    <t xml:space="preserve">My Account (-30) timing</t>
  </si>
  <si>
    <t xml:space="preserve">Sverre pinned Q3/Q4 2026; SF Core says realistic only 2027 (needs Dedupe done first, which completes Oct/Nov)</t>
  </si>
  <si>
    <t xml:space="preserve">Accept 2027 for SF identity work; let Digital Products run the customer-facing build in parallel where it doesn't need the SF person model. Unpin Q3.</t>
  </si>
  <si>
    <t xml:space="preserve">Sverre + Sille + Digital Products</t>
  </si>
  <si>
    <t xml:space="preserve">2</t>
  </si>
  <si>
    <t xml:space="preserve">Consent (-07) &amp; Preference Centre (-10)</t>
  </si>
  <si>
    <t xml:space="preserve">Kev plans Nov-Dec on CRM/SFMC (needs SF Core commitment); SF Core says 2027 and CX/SFMC-owned; sponsorship (Michelle/Jenny) not confirmed</t>
  </si>
  <si>
    <t xml:space="preserve">Confirm sponsorship + consent data clean-up first. If sponsored, Kev runs CRM-side Nov-Dec but the SF Core dependency must be explicitly resourced - SF Core has no H2 slot for it.</t>
  </si>
  <si>
    <t xml:space="preserve">Sverre + Kev + Sille + CX</t>
  </si>
  <si>
    <t xml:space="preserve">3</t>
  </si>
  <si>
    <t xml:space="preserve">ARM (-11) ownership / overlap</t>
  </si>
  <si>
    <t xml:space="preserve">SF Core (Sille): Pawel + Miranda, Jul-Sept. Kev's sheet also shows ARM Aug-Oct on CRM/DC team</t>
  </si>
  <si>
    <t xml:space="preserve">Clarify single owner. ARM = SF Core (Pawel) per Sille; Kev's line is likely DC integration assist - confirm and de-duplicate the FTE.</t>
  </si>
  <si>
    <t xml:space="preserve">Sille + Kev</t>
  </si>
  <si>
    <t xml:space="preserve">4</t>
  </si>
  <si>
    <t xml:space="preserve">TrustPilot (-16), Travel Docs (-18), Segmentation (-17)</t>
  </si>
  <si>
    <t xml:space="preserve">KW alignment view descoped/deferred these (treated SF as one pool); Kev plans all three on CRM team in H2</t>
  </si>
  <si>
    <t xml:space="preserve">Keep IN H2 on Kev's CRM/DC team. Travel Docs still gated by Backend (Jonas) + DocForge service path - decide backend slot separately.</t>
  </si>
  <si>
    <t xml:space="preserve">Kev + Jonas</t>
  </si>
  <si>
    <t xml:space="preserve">5</t>
  </si>
  <si>
    <t xml:space="preserve">SteerCo 'Data &amp; Systems' (VAT, Commission, B2B) capacity gap</t>
  </si>
  <si>
    <t xml:space="preserve">SteerCo assumes SF Core absorbs more; real SF Core project capacity is 2.4 FTE and only B2B(-01) scoping sits with them. VAT(-19) + Commission(-20) are Backend</t>
  </si>
  <si>
    <t xml:space="preserve">Re-baseline SteerCo expectation to 2.4 FTE. VAT lands Q3 (Backend); Commission(-20) slips to Q2 2027 (needs -01 + -19 first); B2B is scoping-only in H2.</t>
  </si>
  <si>
    <t xml:space="preserve">Sverre at SteerCo</t>
  </si>
  <si>
    <t xml:space="preserve">6</t>
  </si>
  <si>
    <t xml:space="preserve">Lighthouse Phase 2 (-09) scope</t>
  </si>
  <si>
    <t xml:space="preserve">SF Core commits the team but scope undefined ('everything' demand); Kev's CRM team has ZERO capacity for it</t>
  </si>
  <si>
    <t xml:space="preserve">Sales/Service + CX deliver a scoped, prioritised feature brief before Q3. Bound what lands H2 vs 2027. It is an SF Core-only delivery.</t>
  </si>
  <si>
    <t xml:space="preserve">Sille + Jude (Sales/Service) + CX</t>
  </si>
  <si>
    <t xml:space="preserve">7</t>
  </si>
  <si>
    <t xml:space="preserve">Backend unscheduled asks (-03 Agent-portal, -04 Loading/IROPS auto)</t>
  </si>
  <si>
    <t xml:space="preserve">On Jonas's canvas but no slot in the balanced plan after Partner API + VAT + payments + Seaware + 30% ops</t>
  </si>
  <si>
    <t xml:space="preserve">Slot -03 frontend on B2X now; decide backend API slot (displaces ~1 BE FTE-q or defers to Q1 27). Fold -04 into automation envelope or defer.</t>
  </si>
  <si>
    <t xml:space="preserve">Sverre + Jonas + Kato</t>
  </si>
  <si>
    <t xml:space="preserve">8</t>
  </si>
  <si>
    <t xml:space="preserve">CRM team -15 Live Reporting &amp; capacity</t>
  </si>
  <si>
    <t xml:space="preserve">Kev's 3-person team is fully loaded every month; -15 has no slot. Kev: 'In a word, no' - needs a dedicated Data Engineer</t>
  </si>
  <si>
    <t xml:space="preserve">Approve a Data Engineer hire (CRM Segmentation + Agentforce compound the gap). Until then -15 has no realistic slot before Q1 2027; Kev's PO role is being displaced by hands-on delivery.</t>
  </si>
  <si>
    <t xml:space="preserve">Sverre (headcount)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</si>
</sst>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9C0006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5E8F0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D5E8F0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30"/>
    <col collapsed="false" customWidth="true" hidden="false" outlineLevel="0" max="11" min="11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43.25" hidden="false" customHeight="fals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5" t="s">
        <v>21</v>
      </c>
      <c r="J5" s="4" t="s">
        <v>22</v>
      </c>
      <c r="K5" s="4" t="s">
        <v>23</v>
      </c>
    </row>
    <row r="6" customFormat="false" ht="32.8" hidden="false" customHeight="false" outlineLevel="0" collapsed="false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6" t="s">
        <v>32</v>
      </c>
      <c r="J6" s="4" t="s">
        <v>33</v>
      </c>
      <c r="K6" s="4" t="s">
        <v>34</v>
      </c>
    </row>
    <row r="7" customFormat="false" ht="43.25" hidden="false" customHeight="false" outlineLevel="0" collapsed="false">
      <c r="A7" s="4" t="s">
        <v>35</v>
      </c>
      <c r="B7" s="4" t="s">
        <v>36</v>
      </c>
      <c r="C7" s="4" t="s">
        <v>15</v>
      </c>
      <c r="D7" s="4" t="s">
        <v>37</v>
      </c>
      <c r="E7" s="4" t="s">
        <v>17</v>
      </c>
      <c r="F7" s="4" t="s">
        <v>29</v>
      </c>
      <c r="G7" s="4" t="s">
        <v>38</v>
      </c>
      <c r="H7" s="4" t="s">
        <v>20</v>
      </c>
      <c r="I7" s="5" t="s">
        <v>21</v>
      </c>
      <c r="J7" s="4" t="s">
        <v>39</v>
      </c>
      <c r="K7" s="4" t="s">
        <v>40</v>
      </c>
    </row>
    <row r="8" customFormat="false" ht="43.25" hidden="false" customHeight="false" outlineLevel="0" collapsed="false">
      <c r="A8" s="4" t="s">
        <v>41</v>
      </c>
      <c r="B8" s="4" t="s">
        <v>42</v>
      </c>
      <c r="C8" s="4" t="s">
        <v>15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7" t="s">
        <v>48</v>
      </c>
      <c r="J8" s="4" t="s">
        <v>49</v>
      </c>
      <c r="K8" s="4" t="s">
        <v>50</v>
      </c>
    </row>
    <row r="9" customFormat="false" ht="22.35" hidden="false" customHeight="false" outlineLevel="0" collapsed="false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18</v>
      </c>
      <c r="G9" s="4" t="s">
        <v>18</v>
      </c>
      <c r="H9" s="4" t="s">
        <v>56</v>
      </c>
      <c r="I9" s="5" t="s">
        <v>57</v>
      </c>
      <c r="J9" s="4" t="s">
        <v>58</v>
      </c>
      <c r="K9" s="4" t="s">
        <v>59</v>
      </c>
    </row>
    <row r="10" customFormat="false" ht="22.35" hidden="false" customHeight="false" outlineLevel="0" collapsed="false">
      <c r="A10" s="4" t="s">
        <v>60</v>
      </c>
      <c r="B10" s="4" t="s">
        <v>61</v>
      </c>
      <c r="C10" s="4" t="s">
        <v>53</v>
      </c>
      <c r="D10" s="4" t="s">
        <v>62</v>
      </c>
      <c r="E10" s="4" t="s">
        <v>63</v>
      </c>
      <c r="F10" s="4" t="s">
        <v>29</v>
      </c>
      <c r="G10" s="4" t="s">
        <v>64</v>
      </c>
      <c r="H10" s="4" t="s">
        <v>65</v>
      </c>
      <c r="I10" s="5" t="s">
        <v>57</v>
      </c>
      <c r="J10" s="4" t="s">
        <v>47</v>
      </c>
      <c r="K10" s="4" t="s">
        <v>66</v>
      </c>
    </row>
    <row r="11" customFormat="false" ht="22.35" hidden="false" customHeight="false" outlineLevel="0" collapsed="false">
      <c r="A11" s="4" t="s">
        <v>67</v>
      </c>
      <c r="B11" s="4" t="s">
        <v>68</v>
      </c>
      <c r="C11" s="4" t="s">
        <v>69</v>
      </c>
      <c r="D11" s="4" t="s">
        <v>70</v>
      </c>
      <c r="E11" s="4" t="s">
        <v>71</v>
      </c>
      <c r="F11" s="4" t="s">
        <v>18</v>
      </c>
      <c r="G11" s="4" t="s">
        <v>18</v>
      </c>
      <c r="H11" s="4" t="s">
        <v>72</v>
      </c>
      <c r="I11" s="5" t="s">
        <v>57</v>
      </c>
      <c r="J11" s="4" t="s">
        <v>47</v>
      </c>
      <c r="K11" s="4" t="s">
        <v>73</v>
      </c>
    </row>
    <row r="12" customFormat="false" ht="43.25" hidden="false" customHeight="false" outlineLevel="0" collapsed="false">
      <c r="A12" s="4" t="s">
        <v>74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29</v>
      </c>
      <c r="G12" s="4" t="s">
        <v>79</v>
      </c>
      <c r="H12" s="4" t="s">
        <v>80</v>
      </c>
      <c r="I12" s="7" t="s">
        <v>81</v>
      </c>
      <c r="J12" s="4" t="s">
        <v>82</v>
      </c>
      <c r="K12" s="4" t="s">
        <v>83</v>
      </c>
    </row>
    <row r="13" customFormat="false" ht="22.35" hidden="false" customHeight="false" outlineLevel="0" collapsed="false">
      <c r="A13" s="4" t="s">
        <v>84</v>
      </c>
      <c r="B13" s="4" t="s">
        <v>85</v>
      </c>
      <c r="C13" s="4" t="s">
        <v>15</v>
      </c>
      <c r="D13" s="4" t="s">
        <v>86</v>
      </c>
      <c r="E13" s="4" t="s">
        <v>87</v>
      </c>
      <c r="F13" s="4" t="s">
        <v>18</v>
      </c>
      <c r="G13" s="4" t="s">
        <v>88</v>
      </c>
      <c r="H13" s="4" t="s">
        <v>89</v>
      </c>
      <c r="I13" s="6" t="s">
        <v>90</v>
      </c>
      <c r="J13" s="4" t="s">
        <v>47</v>
      </c>
      <c r="K13" s="4" t="s">
        <v>91</v>
      </c>
    </row>
    <row r="14" customFormat="false" ht="22.35" hidden="false" customHeight="false" outlineLevel="0" collapsed="false">
      <c r="A14" s="4" t="s">
        <v>92</v>
      </c>
      <c r="B14" s="4" t="s">
        <v>93</v>
      </c>
      <c r="C14" s="4" t="s">
        <v>53</v>
      </c>
      <c r="D14" s="4" t="s">
        <v>94</v>
      </c>
      <c r="E14" s="4" t="s">
        <v>95</v>
      </c>
      <c r="F14" s="4" t="s">
        <v>18</v>
      </c>
      <c r="G14" s="4" t="s">
        <v>96</v>
      </c>
      <c r="H14" s="4" t="s">
        <v>97</v>
      </c>
      <c r="I14" s="5" t="s">
        <v>98</v>
      </c>
      <c r="J14" s="4" t="s">
        <v>99</v>
      </c>
      <c r="K14" s="4" t="s">
        <v>100</v>
      </c>
    </row>
    <row r="15" customFormat="false" ht="22.35" hidden="false" customHeight="false" outlineLevel="0" collapsed="false">
      <c r="A15" s="4" t="s">
        <v>101</v>
      </c>
      <c r="B15" s="4" t="s">
        <v>102</v>
      </c>
      <c r="C15" s="4" t="s">
        <v>69</v>
      </c>
      <c r="D15" s="4" t="s">
        <v>70</v>
      </c>
      <c r="E15" s="4" t="s">
        <v>71</v>
      </c>
      <c r="F15" s="4" t="s">
        <v>96</v>
      </c>
      <c r="G15" s="4" t="s">
        <v>96</v>
      </c>
      <c r="H15" s="4" t="s">
        <v>72</v>
      </c>
      <c r="I15" s="5" t="s">
        <v>98</v>
      </c>
      <c r="J15" s="4" t="s">
        <v>47</v>
      </c>
      <c r="K15" s="4" t="s">
        <v>103</v>
      </c>
    </row>
    <row r="16" customFormat="false" ht="43.25" hidden="false" customHeight="false" outlineLevel="0" collapsed="false">
      <c r="A16" s="4" t="s">
        <v>104</v>
      </c>
      <c r="B16" s="4" t="s">
        <v>105</v>
      </c>
      <c r="C16" s="4" t="s">
        <v>15</v>
      </c>
      <c r="D16" s="4" t="s">
        <v>106</v>
      </c>
      <c r="E16" s="4" t="s">
        <v>17</v>
      </c>
      <c r="F16" s="4" t="s">
        <v>107</v>
      </c>
      <c r="G16" s="4" t="s">
        <v>108</v>
      </c>
      <c r="H16" s="4" t="s">
        <v>20</v>
      </c>
      <c r="I16" s="5" t="s">
        <v>21</v>
      </c>
      <c r="J16" s="4" t="s">
        <v>109</v>
      </c>
      <c r="K16" s="4" t="s">
        <v>110</v>
      </c>
    </row>
    <row r="17" customFormat="false" ht="22.35" hidden="false" customHeight="false" outlineLevel="0" collapsed="false">
      <c r="A17" s="4" t="s">
        <v>111</v>
      </c>
      <c r="B17" s="4" t="s">
        <v>112</v>
      </c>
      <c r="C17" s="4" t="s">
        <v>76</v>
      </c>
      <c r="D17" s="4" t="s">
        <v>113</v>
      </c>
      <c r="E17" s="4" t="s">
        <v>55</v>
      </c>
      <c r="F17" s="4" t="s">
        <v>29</v>
      </c>
      <c r="G17" s="4" t="s">
        <v>79</v>
      </c>
      <c r="H17" s="4" t="s">
        <v>80</v>
      </c>
      <c r="I17" s="7" t="s">
        <v>114</v>
      </c>
      <c r="J17" s="4" t="s">
        <v>115</v>
      </c>
      <c r="K17" s="4" t="s">
        <v>116</v>
      </c>
    </row>
    <row r="18" customFormat="false" ht="22.35" hidden="false" customHeight="false" outlineLevel="0" collapsed="false">
      <c r="A18" s="4" t="s">
        <v>117</v>
      </c>
      <c r="B18" s="4" t="s">
        <v>118</v>
      </c>
      <c r="C18" s="4" t="s">
        <v>15</v>
      </c>
      <c r="D18" s="4" t="s">
        <v>119</v>
      </c>
      <c r="E18" s="4" t="s">
        <v>63</v>
      </c>
      <c r="F18" s="4" t="s">
        <v>18</v>
      </c>
      <c r="G18" s="4" t="s">
        <v>120</v>
      </c>
      <c r="H18" s="4" t="s">
        <v>121</v>
      </c>
      <c r="I18" s="6" t="s">
        <v>122</v>
      </c>
      <c r="J18" s="4" t="s">
        <v>123</v>
      </c>
      <c r="K18" s="4" t="s">
        <v>124</v>
      </c>
    </row>
    <row r="19" customFormat="false" ht="15" hidden="false" customHeight="false" outlineLevel="0" collapsed="false">
      <c r="A19" s="4" t="s">
        <v>125</v>
      </c>
      <c r="B19" s="4" t="s">
        <v>126</v>
      </c>
      <c r="C19" s="4" t="s">
        <v>76</v>
      </c>
      <c r="D19" s="4" t="s">
        <v>127</v>
      </c>
      <c r="E19" s="4" t="s">
        <v>78</v>
      </c>
      <c r="F19" s="4" t="s">
        <v>18</v>
      </c>
      <c r="G19" s="4" t="s">
        <v>120</v>
      </c>
      <c r="H19" s="4" t="s">
        <v>128</v>
      </c>
      <c r="I19" s="6" t="s">
        <v>122</v>
      </c>
      <c r="J19" s="4" t="s">
        <v>129</v>
      </c>
      <c r="K19" s="4" t="s">
        <v>130</v>
      </c>
    </row>
    <row r="20" customFormat="false" ht="22.35" hidden="false" customHeight="false" outlineLevel="0" collapsed="false">
      <c r="A20" s="4" t="s">
        <v>131</v>
      </c>
      <c r="B20" s="4" t="s">
        <v>132</v>
      </c>
      <c r="C20" s="4" t="s">
        <v>15</v>
      </c>
      <c r="D20" s="4" t="s">
        <v>133</v>
      </c>
      <c r="E20" s="4" t="s">
        <v>134</v>
      </c>
      <c r="F20" s="4" t="s">
        <v>18</v>
      </c>
      <c r="G20" s="4" t="s">
        <v>135</v>
      </c>
      <c r="H20" s="4" t="s">
        <v>47</v>
      </c>
      <c r="I20" s="6" t="s">
        <v>136</v>
      </c>
      <c r="J20" s="4" t="s">
        <v>137</v>
      </c>
      <c r="K20" s="4" t="s">
        <v>138</v>
      </c>
    </row>
    <row r="21" customFormat="false" ht="22.35" hidden="false" customHeight="false" outlineLevel="0" collapsed="false">
      <c r="A21" s="4" t="s">
        <v>139</v>
      </c>
      <c r="B21" s="4" t="s">
        <v>140</v>
      </c>
      <c r="C21" s="4" t="s">
        <v>53</v>
      </c>
      <c r="D21" s="4" t="s">
        <v>141</v>
      </c>
      <c r="E21" s="4" t="s">
        <v>142</v>
      </c>
      <c r="F21" s="4" t="s">
        <v>29</v>
      </c>
      <c r="G21" s="4" t="s">
        <v>143</v>
      </c>
      <c r="H21" s="4" t="s">
        <v>144</v>
      </c>
      <c r="I21" s="6" t="s">
        <v>145</v>
      </c>
      <c r="J21" s="4" t="s">
        <v>146</v>
      </c>
      <c r="K21" s="4" t="s">
        <v>147</v>
      </c>
    </row>
    <row r="22" customFormat="false" ht="22.35" hidden="false" customHeight="false" outlineLevel="0" collapsed="false">
      <c r="A22" s="4" t="s">
        <v>148</v>
      </c>
      <c r="B22" s="4" t="s">
        <v>149</v>
      </c>
      <c r="C22" s="4" t="s">
        <v>150</v>
      </c>
      <c r="D22" s="4" t="s">
        <v>151</v>
      </c>
      <c r="E22" s="4" t="s">
        <v>55</v>
      </c>
      <c r="F22" s="4" t="s">
        <v>18</v>
      </c>
      <c r="G22" s="4" t="s">
        <v>120</v>
      </c>
      <c r="H22" s="4" t="s">
        <v>56</v>
      </c>
      <c r="I22" s="6" t="s">
        <v>122</v>
      </c>
      <c r="J22" s="4" t="s">
        <v>152</v>
      </c>
      <c r="K22" s="4" t="s">
        <v>153</v>
      </c>
    </row>
    <row r="23" customFormat="false" ht="22.35" hidden="false" customHeight="false" outlineLevel="0" collapsed="false">
      <c r="A23" s="4" t="s">
        <v>154</v>
      </c>
      <c r="B23" s="4" t="s">
        <v>155</v>
      </c>
      <c r="C23" s="4" t="s">
        <v>76</v>
      </c>
      <c r="D23" s="4" t="s">
        <v>156</v>
      </c>
      <c r="E23" s="4" t="s">
        <v>63</v>
      </c>
      <c r="F23" s="4" t="s">
        <v>29</v>
      </c>
      <c r="G23" s="4" t="s">
        <v>157</v>
      </c>
      <c r="H23" s="4" t="s">
        <v>158</v>
      </c>
      <c r="I23" s="5" t="s">
        <v>159</v>
      </c>
      <c r="J23" s="4" t="s">
        <v>160</v>
      </c>
      <c r="K23" s="4" t="s">
        <v>161</v>
      </c>
    </row>
    <row r="24" customFormat="false" ht="22.35" hidden="false" customHeight="false" outlineLevel="0" collapsed="false">
      <c r="A24" s="4" t="s">
        <v>162</v>
      </c>
      <c r="B24" s="4" t="s">
        <v>163</v>
      </c>
      <c r="C24" s="4" t="s">
        <v>76</v>
      </c>
      <c r="D24" s="4" t="s">
        <v>164</v>
      </c>
      <c r="E24" s="4" t="s">
        <v>55</v>
      </c>
      <c r="F24" s="4" t="s">
        <v>96</v>
      </c>
      <c r="G24" s="4" t="s">
        <v>165</v>
      </c>
      <c r="H24" s="4" t="s">
        <v>166</v>
      </c>
      <c r="I24" s="6" t="s">
        <v>167</v>
      </c>
      <c r="J24" s="4" t="s">
        <v>47</v>
      </c>
      <c r="K24" s="4" t="s">
        <v>168</v>
      </c>
    </row>
    <row r="25" customFormat="false" ht="22.35" hidden="false" customHeight="false" outlineLevel="0" collapsed="false">
      <c r="A25" s="4" t="s">
        <v>169</v>
      </c>
      <c r="B25" s="4" t="s">
        <v>170</v>
      </c>
      <c r="C25" s="4" t="s">
        <v>76</v>
      </c>
      <c r="D25" s="4" t="s">
        <v>171</v>
      </c>
      <c r="E25" s="4" t="s">
        <v>55</v>
      </c>
      <c r="F25" s="4" t="s">
        <v>96</v>
      </c>
      <c r="G25" s="4" t="s">
        <v>165</v>
      </c>
      <c r="H25" s="4" t="s">
        <v>166</v>
      </c>
      <c r="I25" s="6" t="s">
        <v>167</v>
      </c>
      <c r="J25" s="4" t="s">
        <v>47</v>
      </c>
      <c r="K25" s="4" t="s">
        <v>168</v>
      </c>
    </row>
    <row r="26" customFormat="false" ht="32.8" hidden="false" customHeight="false" outlineLevel="0" collapsed="false">
      <c r="A26" s="4" t="s">
        <v>172</v>
      </c>
      <c r="B26" s="4" t="s">
        <v>173</v>
      </c>
      <c r="C26" s="4" t="s">
        <v>53</v>
      </c>
      <c r="D26" s="4" t="s">
        <v>141</v>
      </c>
      <c r="E26" s="4" t="s">
        <v>63</v>
      </c>
      <c r="F26" s="4" t="s">
        <v>174</v>
      </c>
      <c r="G26" s="4" t="s">
        <v>165</v>
      </c>
      <c r="H26" s="4" t="s">
        <v>175</v>
      </c>
      <c r="I26" s="6" t="s">
        <v>167</v>
      </c>
      <c r="J26" s="4" t="s">
        <v>176</v>
      </c>
      <c r="K26" s="4" t="s">
        <v>177</v>
      </c>
    </row>
    <row r="27" customFormat="false" ht="22.35" hidden="false" customHeight="false" outlineLevel="0" collapsed="false">
      <c r="A27" s="4" t="s">
        <v>178</v>
      </c>
      <c r="B27" s="4" t="s">
        <v>179</v>
      </c>
      <c r="C27" s="4" t="s">
        <v>53</v>
      </c>
      <c r="D27" s="4" t="s">
        <v>180</v>
      </c>
      <c r="E27" s="4" t="s">
        <v>95</v>
      </c>
      <c r="F27" s="4" t="s">
        <v>18</v>
      </c>
      <c r="G27" s="4" t="s">
        <v>181</v>
      </c>
      <c r="H27" s="4" t="s">
        <v>182</v>
      </c>
      <c r="I27" s="6" t="s">
        <v>167</v>
      </c>
      <c r="J27" s="4" t="s">
        <v>183</v>
      </c>
      <c r="K27" s="4" t="s">
        <v>184</v>
      </c>
    </row>
    <row r="28" customFormat="false" ht="32.8" hidden="false" customHeight="false" outlineLevel="0" collapsed="false">
      <c r="A28" s="4" t="s">
        <v>185</v>
      </c>
      <c r="B28" s="4" t="s">
        <v>186</v>
      </c>
      <c r="C28" s="4" t="s">
        <v>76</v>
      </c>
      <c r="D28" s="4" t="s">
        <v>156</v>
      </c>
      <c r="E28" s="4" t="s">
        <v>63</v>
      </c>
      <c r="F28" s="4" t="s">
        <v>18</v>
      </c>
      <c r="G28" s="4" t="s">
        <v>187</v>
      </c>
      <c r="H28" s="4" t="s">
        <v>188</v>
      </c>
      <c r="I28" s="5" t="s">
        <v>159</v>
      </c>
      <c r="J28" s="4" t="s">
        <v>189</v>
      </c>
      <c r="K28" s="4" t="s">
        <v>190</v>
      </c>
    </row>
    <row r="29" customFormat="false" ht="32.8" hidden="false" customHeight="false" outlineLevel="0" collapsed="false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63</v>
      </c>
      <c r="F29" s="4" t="s">
        <v>18</v>
      </c>
      <c r="G29" s="4" t="s">
        <v>195</v>
      </c>
      <c r="H29" s="4" t="s">
        <v>196</v>
      </c>
      <c r="I29" s="5" t="s">
        <v>197</v>
      </c>
      <c r="J29" s="4" t="s">
        <v>198</v>
      </c>
      <c r="K29" s="4" t="s">
        <v>199</v>
      </c>
    </row>
    <row r="30" customFormat="false" ht="22.35" hidden="false" customHeight="false" outlineLevel="0" collapsed="false">
      <c r="A30" s="4" t="s">
        <v>200</v>
      </c>
      <c r="B30" s="4" t="s">
        <v>201</v>
      </c>
      <c r="C30" s="4" t="s">
        <v>53</v>
      </c>
      <c r="D30" s="4" t="s">
        <v>202</v>
      </c>
      <c r="E30" s="4" t="s">
        <v>63</v>
      </c>
      <c r="F30" s="4" t="s">
        <v>18</v>
      </c>
      <c r="G30" s="4" t="s">
        <v>203</v>
      </c>
      <c r="H30" s="4" t="s">
        <v>47</v>
      </c>
      <c r="I30" s="7" t="s">
        <v>204</v>
      </c>
      <c r="J30" s="4" t="s">
        <v>205</v>
      </c>
      <c r="K30" s="4" t="s">
        <v>206</v>
      </c>
    </row>
    <row r="31" customFormat="false" ht="22.35" hidden="false" customHeight="false" outlineLevel="0" collapsed="false">
      <c r="A31" s="4" t="s">
        <v>207</v>
      </c>
      <c r="B31" s="4" t="s">
        <v>208</v>
      </c>
      <c r="C31" s="4" t="s">
        <v>53</v>
      </c>
      <c r="D31" s="4" t="s">
        <v>54</v>
      </c>
      <c r="E31" s="4" t="s">
        <v>55</v>
      </c>
      <c r="F31" s="4" t="s">
        <v>18</v>
      </c>
      <c r="G31" s="4" t="s">
        <v>203</v>
      </c>
      <c r="H31" s="4" t="s">
        <v>47</v>
      </c>
      <c r="I31" s="7" t="s">
        <v>204</v>
      </c>
      <c r="J31" s="4" t="s">
        <v>209</v>
      </c>
      <c r="K31" s="4" t="s">
        <v>210</v>
      </c>
    </row>
    <row r="32" customFormat="false" ht="22.35" hidden="false" customHeight="false" outlineLevel="0" collapsed="false">
      <c r="A32" s="4" t="s">
        <v>211</v>
      </c>
      <c r="B32" s="4" t="s">
        <v>212</v>
      </c>
      <c r="C32" s="4" t="s">
        <v>76</v>
      </c>
      <c r="D32" s="4" t="s">
        <v>213</v>
      </c>
      <c r="E32" s="4" t="s">
        <v>78</v>
      </c>
      <c r="F32" s="4" t="s">
        <v>18</v>
      </c>
      <c r="G32" s="4" t="s">
        <v>203</v>
      </c>
      <c r="H32" s="4" t="s">
        <v>47</v>
      </c>
      <c r="I32" s="7" t="s">
        <v>204</v>
      </c>
      <c r="J32" s="4" t="s">
        <v>214</v>
      </c>
      <c r="K32" s="4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8" t="s">
        <v>216</v>
      </c>
    </row>
    <row r="2" customFormat="false" ht="15" hidden="false" customHeight="false" outlineLevel="0" collapsed="false">
      <c r="A2" s="9" t="s">
        <v>217</v>
      </c>
    </row>
    <row r="3" customFormat="false" ht="15" hidden="false" customHeight="false" outlineLevel="0" collapsed="false">
      <c r="A3" s="3" t="s">
        <v>218</v>
      </c>
      <c r="B3" s="3" t="s">
        <v>219</v>
      </c>
      <c r="C3" s="3" t="s">
        <v>18</v>
      </c>
      <c r="D3" s="3" t="s">
        <v>96</v>
      </c>
      <c r="E3" s="3" t="s">
        <v>120</v>
      </c>
      <c r="F3" s="3" t="s">
        <v>165</v>
      </c>
    </row>
    <row r="4" customFormat="false" ht="15" hidden="false" customHeight="false" outlineLevel="0" collapsed="false">
      <c r="A4" s="10" t="s">
        <v>220</v>
      </c>
      <c r="B4" s="11" t="n">
        <v>5.5</v>
      </c>
      <c r="C4" s="11" t="n">
        <f aca="false">SUMIFS($D$15:$D$40,$B$15:$B$40,$A4,$C$15:$C$40,C$3)</f>
        <v>5.5</v>
      </c>
      <c r="D4" s="11" t="n">
        <f aca="false">SUMIFS($D$15:$D$40,$B$15:$B$40,$A4,$C$15:$C$40,D$3)</f>
        <v>5.75</v>
      </c>
      <c r="E4" s="11" t="n">
        <f aca="false">SUMIFS($D$15:$D$40,$B$15:$B$40,$A4,$C$15:$C$40,E$3)</f>
        <v>5.5</v>
      </c>
      <c r="F4" s="11" t="n">
        <f aca="false">SUMIFS($D$15:$D$40,$B$15:$B$40,$A4,$C$15:$C$40,F$3)</f>
        <v>4.5</v>
      </c>
    </row>
    <row r="5" customFormat="false" ht="15" hidden="false" customHeight="false" outlineLevel="0" collapsed="false">
      <c r="A5" s="10" t="s">
        <v>221</v>
      </c>
      <c r="B5" s="11" t="n">
        <v>2.5</v>
      </c>
      <c r="C5" s="11" t="n">
        <f aca="false">SUMIFS($D$15:$D$40,$B$15:$B$40,$A5,$C$15:$C$40,C$3)</f>
        <v>1</v>
      </c>
      <c r="D5" s="11" t="n">
        <f aca="false">SUMIFS($D$15:$D$40,$B$15:$B$40,$A5,$C$15:$C$40,D$3)</f>
        <v>2</v>
      </c>
      <c r="E5" s="11" t="n">
        <f aca="false">SUMIFS($D$15:$D$40,$B$15:$B$40,$A5,$C$15:$C$40,E$3)</f>
        <v>3</v>
      </c>
      <c r="F5" s="11" t="n">
        <f aca="false">SUMIFS($D$15:$D$40,$B$15:$B$40,$A5,$C$15:$C$40,F$3)</f>
        <v>4.5</v>
      </c>
    </row>
    <row r="6" customFormat="false" ht="15" hidden="false" customHeight="false" outlineLevel="0" collapsed="false">
      <c r="A6" s="10" t="s">
        <v>222</v>
      </c>
      <c r="B6" s="11" t="n">
        <v>1</v>
      </c>
      <c r="C6" s="11" t="n">
        <f aca="false">SUMIFS($D$15:$D$40,$B$15:$B$40,$A6,$C$15:$C$40,C$3)</f>
        <v>1</v>
      </c>
      <c r="D6" s="11" t="n">
        <f aca="false">SUMIFS($D$15:$D$40,$B$15:$B$40,$A6,$C$15:$C$40,D$3)</f>
        <v>1</v>
      </c>
      <c r="E6" s="11" t="n">
        <f aca="false">SUMIFS($D$15:$D$40,$B$15:$B$40,$A6,$C$15:$C$40,E$3)</f>
        <v>0</v>
      </c>
      <c r="F6" s="11" t="n">
        <f aca="false">SUMIFS($D$15:$D$40,$B$15:$B$40,$A6,$C$15:$C$40,F$3)</f>
        <v>0</v>
      </c>
    </row>
    <row r="7" customFormat="false" ht="15" hidden="false" customHeight="false" outlineLevel="0" collapsed="false">
      <c r="A7" s="12" t="s">
        <v>223</v>
      </c>
      <c r="B7" s="12" t="n">
        <f aca="false">SUM(B4:B6)</f>
        <v>9</v>
      </c>
      <c r="C7" s="13" t="n">
        <f aca="false">SUM(C4:C6)</f>
        <v>7.5</v>
      </c>
      <c r="D7" s="13" t="n">
        <f aca="false">SUM(D4:D6)</f>
        <v>8.75</v>
      </c>
      <c r="E7" s="13" t="n">
        <f aca="false">SUM(E4:E6)</f>
        <v>8.5</v>
      </c>
      <c r="F7" s="13" t="n">
        <f aca="false">SUM(F4:F6)</f>
        <v>9</v>
      </c>
    </row>
    <row r="8" customFormat="false" ht="15" hidden="false" customHeight="false" outlineLevel="0" collapsed="false">
      <c r="A8" s="14" t="s">
        <v>224</v>
      </c>
      <c r="C8" s="15" t="n">
        <f aca="false">9-C7</f>
        <v>1.5</v>
      </c>
      <c r="D8" s="15" t="n">
        <f aca="false">9-D7</f>
        <v>0.25</v>
      </c>
      <c r="E8" s="15" t="n">
        <f aca="false">9-E7</f>
        <v>0.5</v>
      </c>
      <c r="F8" s="15" t="n">
        <f aca="false">9-F7</f>
        <v>0</v>
      </c>
    </row>
    <row r="13" customFormat="false" ht="15" hidden="false" customHeight="false" outlineLevel="0" collapsed="false">
      <c r="A13" s="16" t="s">
        <v>225</v>
      </c>
    </row>
    <row r="14" customFormat="false" ht="15" hidden="false" customHeight="false" outlineLevel="0" collapsed="false">
      <c r="A14" s="3" t="s">
        <v>3</v>
      </c>
      <c r="B14" s="3" t="s">
        <v>218</v>
      </c>
      <c r="C14" s="3" t="s">
        <v>226</v>
      </c>
      <c r="D14" s="3" t="s">
        <v>227</v>
      </c>
    </row>
    <row r="15" customFormat="false" ht="15" hidden="false" customHeight="false" outlineLevel="0" collapsed="false">
      <c r="A15" s="17" t="s">
        <v>228</v>
      </c>
      <c r="B15" s="17" t="s">
        <v>220</v>
      </c>
      <c r="C15" s="17" t="s">
        <v>18</v>
      </c>
      <c r="D15" s="17" t="n">
        <v>2</v>
      </c>
    </row>
    <row r="16" customFormat="false" ht="15" hidden="false" customHeight="false" outlineLevel="0" collapsed="false">
      <c r="A16" s="17" t="s">
        <v>229</v>
      </c>
      <c r="B16" s="17" t="s">
        <v>220</v>
      </c>
      <c r="C16" s="17" t="s">
        <v>18</v>
      </c>
      <c r="D16" s="17" t="n">
        <v>1</v>
      </c>
    </row>
    <row r="17" customFormat="false" ht="15" hidden="false" customHeight="false" outlineLevel="0" collapsed="false">
      <c r="A17" s="17" t="s">
        <v>230</v>
      </c>
      <c r="B17" s="17" t="s">
        <v>220</v>
      </c>
      <c r="C17" s="17" t="s">
        <v>18</v>
      </c>
      <c r="D17" s="17" t="n">
        <v>1.25</v>
      </c>
    </row>
    <row r="18" customFormat="false" ht="15" hidden="false" customHeight="false" outlineLevel="0" collapsed="false">
      <c r="A18" s="17" t="s">
        <v>231</v>
      </c>
      <c r="B18" s="17" t="s">
        <v>220</v>
      </c>
      <c r="C18" s="17" t="s">
        <v>18</v>
      </c>
      <c r="D18" s="17" t="n">
        <v>1.25</v>
      </c>
    </row>
    <row r="19" customFormat="false" ht="15" hidden="false" customHeight="false" outlineLevel="0" collapsed="false">
      <c r="A19" s="17" t="s">
        <v>232</v>
      </c>
      <c r="B19" s="17" t="s">
        <v>221</v>
      </c>
      <c r="C19" s="17" t="s">
        <v>18</v>
      </c>
      <c r="D19" s="17" t="n">
        <v>1</v>
      </c>
    </row>
    <row r="20" customFormat="false" ht="15" hidden="false" customHeight="false" outlineLevel="0" collapsed="false">
      <c r="A20" s="17" t="s">
        <v>233</v>
      </c>
      <c r="B20" s="17" t="s">
        <v>222</v>
      </c>
      <c r="C20" s="17" t="s">
        <v>18</v>
      </c>
      <c r="D20" s="17" t="n">
        <v>1</v>
      </c>
    </row>
    <row r="21" customFormat="false" ht="15" hidden="false" customHeight="false" outlineLevel="0" collapsed="false">
      <c r="A21" s="17" t="s">
        <v>234</v>
      </c>
      <c r="B21" s="17" t="s">
        <v>220</v>
      </c>
      <c r="C21" s="17" t="s">
        <v>96</v>
      </c>
      <c r="D21" s="17" t="n">
        <v>2.5</v>
      </c>
    </row>
    <row r="22" customFormat="false" ht="15" hidden="false" customHeight="false" outlineLevel="0" collapsed="false">
      <c r="A22" s="17" t="s">
        <v>235</v>
      </c>
      <c r="B22" s="17" t="s">
        <v>220</v>
      </c>
      <c r="C22" s="17" t="s">
        <v>96</v>
      </c>
      <c r="D22" s="17" t="n">
        <v>1.25</v>
      </c>
    </row>
    <row r="23" customFormat="false" ht="15" hidden="false" customHeight="false" outlineLevel="0" collapsed="false">
      <c r="A23" s="17" t="s">
        <v>236</v>
      </c>
      <c r="B23" s="17" t="s">
        <v>220</v>
      </c>
      <c r="C23" s="17" t="s">
        <v>96</v>
      </c>
      <c r="D23" s="17" t="n">
        <v>1.5</v>
      </c>
    </row>
    <row r="24" customFormat="false" ht="15" hidden="false" customHeight="false" outlineLevel="0" collapsed="false">
      <c r="A24" s="17" t="s">
        <v>237</v>
      </c>
      <c r="B24" s="17" t="s">
        <v>220</v>
      </c>
      <c r="C24" s="17" t="s">
        <v>96</v>
      </c>
      <c r="D24" s="17" t="n">
        <v>0.5</v>
      </c>
    </row>
    <row r="25" customFormat="false" ht="15" hidden="false" customHeight="false" outlineLevel="0" collapsed="false">
      <c r="A25" s="17" t="s">
        <v>238</v>
      </c>
      <c r="B25" s="17" t="s">
        <v>221</v>
      </c>
      <c r="C25" s="17" t="s">
        <v>96</v>
      </c>
      <c r="D25" s="17" t="n">
        <v>2</v>
      </c>
    </row>
    <row r="26" customFormat="false" ht="15" hidden="false" customHeight="false" outlineLevel="0" collapsed="false">
      <c r="A26" s="17" t="s">
        <v>238</v>
      </c>
      <c r="B26" s="17" t="s">
        <v>222</v>
      </c>
      <c r="C26" s="17" t="s">
        <v>96</v>
      </c>
      <c r="D26" s="17" t="n">
        <v>1</v>
      </c>
    </row>
    <row r="27" customFormat="false" ht="15" hidden="false" customHeight="false" outlineLevel="0" collapsed="false">
      <c r="A27" s="17" t="s">
        <v>239</v>
      </c>
      <c r="B27" s="17" t="s">
        <v>220</v>
      </c>
      <c r="C27" s="17" t="s">
        <v>120</v>
      </c>
      <c r="D27" s="17" t="n">
        <v>1</v>
      </c>
    </row>
    <row r="28" customFormat="false" ht="15" hidden="false" customHeight="false" outlineLevel="0" collapsed="false">
      <c r="A28" s="17" t="s">
        <v>240</v>
      </c>
      <c r="B28" s="17" t="s">
        <v>220</v>
      </c>
      <c r="C28" s="17" t="s">
        <v>120</v>
      </c>
      <c r="D28" s="17" t="n">
        <v>2</v>
      </c>
    </row>
    <row r="29" customFormat="false" ht="15" hidden="false" customHeight="false" outlineLevel="0" collapsed="false">
      <c r="A29" s="17" t="s">
        <v>241</v>
      </c>
      <c r="B29" s="17" t="s">
        <v>220</v>
      </c>
      <c r="C29" s="17" t="s">
        <v>120</v>
      </c>
      <c r="D29" s="17" t="n">
        <v>1.5</v>
      </c>
    </row>
    <row r="30" customFormat="false" ht="15" hidden="false" customHeight="false" outlineLevel="0" collapsed="false">
      <c r="A30" s="17" t="s">
        <v>242</v>
      </c>
      <c r="B30" s="17" t="s">
        <v>220</v>
      </c>
      <c r="C30" s="17" t="s">
        <v>120</v>
      </c>
      <c r="D30" s="17" t="n">
        <v>1</v>
      </c>
    </row>
    <row r="31" customFormat="false" ht="15" hidden="false" customHeight="false" outlineLevel="0" collapsed="false">
      <c r="A31" s="17" t="s">
        <v>243</v>
      </c>
      <c r="B31" s="17" t="s">
        <v>221</v>
      </c>
      <c r="C31" s="17" t="s">
        <v>120</v>
      </c>
      <c r="D31" s="17" t="n">
        <v>2</v>
      </c>
    </row>
    <row r="32" customFormat="false" ht="15" hidden="false" customHeight="false" outlineLevel="0" collapsed="false">
      <c r="A32" s="17" t="s">
        <v>244</v>
      </c>
      <c r="B32" s="17" t="s">
        <v>221</v>
      </c>
      <c r="C32" s="17" t="s">
        <v>120</v>
      </c>
      <c r="D32" s="17" t="n">
        <v>1</v>
      </c>
    </row>
    <row r="33" customFormat="false" ht="15" hidden="false" customHeight="false" outlineLevel="0" collapsed="false">
      <c r="A33" s="17" t="s">
        <v>245</v>
      </c>
      <c r="B33" s="17" t="s">
        <v>220</v>
      </c>
      <c r="C33" s="17" t="s">
        <v>165</v>
      </c>
      <c r="D33" s="17" t="n">
        <v>1.5</v>
      </c>
    </row>
    <row r="34" customFormat="false" ht="15" hidden="false" customHeight="false" outlineLevel="0" collapsed="false">
      <c r="A34" s="17" t="s">
        <v>246</v>
      </c>
      <c r="B34" s="17" t="s">
        <v>220</v>
      </c>
      <c r="C34" s="17" t="s">
        <v>165</v>
      </c>
      <c r="D34" s="17" t="n">
        <v>1</v>
      </c>
    </row>
    <row r="35" customFormat="false" ht="15" hidden="false" customHeight="false" outlineLevel="0" collapsed="false">
      <c r="A35" s="17" t="s">
        <v>247</v>
      </c>
      <c r="B35" s="17" t="s">
        <v>220</v>
      </c>
      <c r="C35" s="17" t="s">
        <v>165</v>
      </c>
      <c r="D35" s="17" t="n">
        <v>1</v>
      </c>
    </row>
    <row r="36" customFormat="false" ht="15" hidden="false" customHeight="false" outlineLevel="0" collapsed="false">
      <c r="A36" s="17" t="s">
        <v>248</v>
      </c>
      <c r="B36" s="17" t="s">
        <v>220</v>
      </c>
      <c r="C36" s="17" t="s">
        <v>165</v>
      </c>
      <c r="D36" s="17" t="n">
        <v>0.5</v>
      </c>
    </row>
    <row r="37" customFormat="false" ht="15" hidden="false" customHeight="false" outlineLevel="0" collapsed="false">
      <c r="A37" s="17" t="s">
        <v>249</v>
      </c>
      <c r="B37" s="17" t="s">
        <v>220</v>
      </c>
      <c r="C37" s="17" t="s">
        <v>165</v>
      </c>
      <c r="D37" s="17" t="n">
        <v>0.5</v>
      </c>
    </row>
    <row r="38" customFormat="false" ht="15" hidden="false" customHeight="false" outlineLevel="0" collapsed="false">
      <c r="A38" s="17" t="s">
        <v>250</v>
      </c>
      <c r="B38" s="17" t="s">
        <v>221</v>
      </c>
      <c r="C38" s="17" t="s">
        <v>165</v>
      </c>
      <c r="D38" s="17" t="n">
        <v>1</v>
      </c>
    </row>
    <row r="39" customFormat="false" ht="15" hidden="false" customHeight="false" outlineLevel="0" collapsed="false">
      <c r="A39" s="17" t="s">
        <v>251</v>
      </c>
      <c r="B39" s="17" t="s">
        <v>221</v>
      </c>
      <c r="C39" s="17" t="s">
        <v>165</v>
      </c>
      <c r="D39" s="17" t="n">
        <v>2</v>
      </c>
    </row>
    <row r="40" customFormat="false" ht="15" hidden="false" customHeight="false" outlineLevel="0" collapsed="false">
      <c r="A40" s="17" t="s">
        <v>252</v>
      </c>
      <c r="B40" s="17" t="s">
        <v>221</v>
      </c>
      <c r="C40" s="17" t="s">
        <v>165</v>
      </c>
      <c r="D40" s="17" t="n">
        <v>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26"/>
  </cols>
  <sheetData>
    <row r="1" customFormat="false" ht="16.15" hidden="false" customHeight="false" outlineLevel="0" collapsed="false">
      <c r="A1" s="8" t="s">
        <v>253</v>
      </c>
    </row>
    <row r="3" customFormat="false" ht="15" hidden="false" customHeight="false" outlineLevel="0" collapsed="false">
      <c r="A3" s="18" t="s">
        <v>218</v>
      </c>
      <c r="B3" s="18" t="s">
        <v>254</v>
      </c>
      <c r="C3" s="18" t="s">
        <v>255</v>
      </c>
      <c r="D3" s="18" t="s">
        <v>256</v>
      </c>
      <c r="E3" s="18" t="s">
        <v>257</v>
      </c>
    </row>
    <row r="4" customFormat="false" ht="23.85" hidden="false" customHeight="false" outlineLevel="0" collapsed="false">
      <c r="A4" s="19" t="s">
        <v>258</v>
      </c>
      <c r="B4" s="19" t="s">
        <v>259</v>
      </c>
      <c r="C4" s="19" t="s">
        <v>260</v>
      </c>
      <c r="D4" s="19" t="s">
        <v>261</v>
      </c>
      <c r="E4" s="19" t="s">
        <v>262</v>
      </c>
    </row>
    <row r="5" customFormat="false" ht="15" hidden="false" customHeight="false" outlineLevel="0" collapsed="false">
      <c r="A5" s="19" t="s">
        <v>263</v>
      </c>
      <c r="B5" s="19" t="s">
        <v>264</v>
      </c>
      <c r="C5" s="19" t="s">
        <v>95</v>
      </c>
      <c r="D5" s="19" t="s">
        <v>265</v>
      </c>
      <c r="E5" s="19" t="s">
        <v>266</v>
      </c>
    </row>
    <row r="6" customFormat="false" ht="15" hidden="false" customHeight="false" outlineLevel="0" collapsed="false">
      <c r="A6" s="19" t="s">
        <v>267</v>
      </c>
      <c r="B6" s="19" t="s">
        <v>268</v>
      </c>
      <c r="C6" s="19" t="s">
        <v>269</v>
      </c>
      <c r="D6" s="19" t="s">
        <v>71</v>
      </c>
      <c r="E6" s="19" t="s">
        <v>270</v>
      </c>
    </row>
    <row r="9" customFormat="false" ht="15" hidden="false" customHeight="false" outlineLevel="0" collapsed="false">
      <c r="A9" s="12" t="s">
        <v>271</v>
      </c>
    </row>
    <row r="10" customFormat="false" ht="15" hidden="false" customHeight="false" outlineLevel="0" collapsed="false">
      <c r="A10" s="20" t="s">
        <v>272</v>
      </c>
    </row>
    <row r="11" customFormat="false" ht="15" hidden="false" customHeight="false" outlineLevel="0" collapsed="false">
      <c r="A11" s="20" t="s">
        <v>273</v>
      </c>
    </row>
    <row r="12" customFormat="false" ht="15" hidden="false" customHeight="false" outlineLevel="0" collapsed="false">
      <c r="A12" s="20" t="s">
        <v>274</v>
      </c>
    </row>
    <row r="13" customFormat="false" ht="15" hidden="false" customHeight="false" outlineLevel="0" collapsed="false">
      <c r="A13" s="20" t="s">
        <v>275</v>
      </c>
    </row>
    <row r="14" customFormat="false" ht="15" hidden="false" customHeight="false" outlineLevel="0" collapsed="false">
      <c r="A14" s="20" t="s">
        <v>276</v>
      </c>
    </row>
    <row r="15" customFormat="false" ht="15" hidden="false" customHeight="false" outlineLevel="0" collapsed="false">
      <c r="A15" s="20" t="s">
        <v>277</v>
      </c>
    </row>
    <row r="16" customFormat="false" ht="15" hidden="false" customHeight="false" outlineLevel="0" collapsed="false">
      <c r="A16" s="20" t="s">
        <v>278</v>
      </c>
    </row>
    <row r="17" customFormat="false" ht="15" hidden="false" customHeight="false" outlineLevel="0" collapsed="false">
      <c r="A17" s="20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0"/>
  </cols>
  <sheetData>
    <row r="1" customFormat="false" ht="16.15" hidden="false" customHeight="false" outlineLevel="0" collapsed="false">
      <c r="A1" s="8" t="s">
        <v>280</v>
      </c>
    </row>
    <row r="2" customFormat="false" ht="15" hidden="false" customHeight="false" outlineLevel="0" collapsed="false">
      <c r="A2" s="2" t="s">
        <v>281</v>
      </c>
    </row>
    <row r="4" customFormat="false" ht="15" hidden="false" customHeight="false" outlineLevel="0" collapsed="false">
      <c r="A4" s="3" t="s">
        <v>3</v>
      </c>
      <c r="B4" s="3" t="s">
        <v>282</v>
      </c>
      <c r="C4" s="3" t="s">
        <v>283</v>
      </c>
      <c r="D4" s="3" t="s">
        <v>284</v>
      </c>
      <c r="E4" s="3" t="s">
        <v>285</v>
      </c>
      <c r="F4" s="3" t="s">
        <v>286</v>
      </c>
      <c r="G4" s="3" t="s">
        <v>287</v>
      </c>
    </row>
    <row r="5" customFormat="false" ht="15" hidden="false" customHeight="false" outlineLevel="0" collapsed="false">
      <c r="A5" s="11" t="s">
        <v>288</v>
      </c>
      <c r="B5" s="21" t="n">
        <v>1</v>
      </c>
      <c r="C5" s="21" t="n">
        <v>1</v>
      </c>
      <c r="D5" s="21" t="n">
        <v>0.5</v>
      </c>
      <c r="E5" s="21" t="n">
        <v>0.5</v>
      </c>
      <c r="F5" s="22"/>
      <c r="G5" s="22"/>
    </row>
    <row r="6" customFormat="false" ht="15" hidden="false" customHeight="false" outlineLevel="0" collapsed="false">
      <c r="A6" s="11" t="s">
        <v>289</v>
      </c>
      <c r="B6" s="21" t="n">
        <v>1</v>
      </c>
      <c r="C6" s="21" t="n">
        <v>0.5</v>
      </c>
      <c r="D6" s="21" t="n">
        <v>0.5</v>
      </c>
      <c r="E6" s="21" t="n">
        <v>0.25</v>
      </c>
      <c r="F6" s="21" t="n">
        <v>0.25</v>
      </c>
      <c r="G6" s="21" t="n">
        <v>0.25</v>
      </c>
    </row>
    <row r="7" customFormat="false" ht="15" hidden="false" customHeight="false" outlineLevel="0" collapsed="false">
      <c r="A7" s="11" t="s">
        <v>290</v>
      </c>
      <c r="B7" s="21" t="n">
        <v>0.25</v>
      </c>
      <c r="C7" s="21" t="n">
        <v>0.25</v>
      </c>
      <c r="D7" s="21" t="n">
        <v>0.25</v>
      </c>
      <c r="E7" s="21" t="n">
        <v>0.25</v>
      </c>
      <c r="F7" s="21" t="n">
        <v>0.25</v>
      </c>
      <c r="G7" s="21" t="n">
        <v>0.25</v>
      </c>
    </row>
    <row r="8" customFormat="false" ht="15" hidden="false" customHeight="false" outlineLevel="0" collapsed="false">
      <c r="A8" s="11" t="s">
        <v>291</v>
      </c>
      <c r="B8" s="21" t="n">
        <v>0.5</v>
      </c>
      <c r="C8" s="21" t="n">
        <v>1</v>
      </c>
      <c r="D8" s="21" t="n">
        <v>0.5</v>
      </c>
      <c r="E8" s="21" t="n">
        <v>0.5</v>
      </c>
      <c r="F8" s="21" t="n">
        <v>0.5</v>
      </c>
      <c r="G8" s="22"/>
    </row>
    <row r="9" customFormat="false" ht="15" hidden="false" customHeight="false" outlineLevel="0" collapsed="false">
      <c r="A9" s="11" t="s">
        <v>292</v>
      </c>
      <c r="B9" s="22"/>
      <c r="C9" s="22"/>
      <c r="D9" s="22"/>
      <c r="E9" s="22"/>
      <c r="F9" s="22"/>
      <c r="G9" s="21" t="n">
        <v>0.25</v>
      </c>
    </row>
    <row r="10" customFormat="false" ht="15" hidden="false" customHeight="false" outlineLevel="0" collapsed="false">
      <c r="A10" s="11" t="s">
        <v>293</v>
      </c>
      <c r="B10" s="21" t="n">
        <v>0.5</v>
      </c>
      <c r="C10" s="21" t="n">
        <v>0.5</v>
      </c>
      <c r="D10" s="21" t="n">
        <v>0.5</v>
      </c>
      <c r="E10" s="22"/>
      <c r="F10" s="22"/>
      <c r="G10" s="22"/>
    </row>
    <row r="11" customFormat="false" ht="15" hidden="false" customHeight="false" outlineLevel="0" collapsed="false">
      <c r="A11" s="11" t="s">
        <v>294</v>
      </c>
      <c r="B11" s="22"/>
      <c r="C11" s="21" t="n">
        <v>0.25</v>
      </c>
      <c r="D11" s="21" t="n">
        <v>1</v>
      </c>
      <c r="E11" s="21" t="n">
        <v>1</v>
      </c>
      <c r="F11" s="22"/>
      <c r="G11" s="22"/>
    </row>
    <row r="12" customFormat="false" ht="15" hidden="false" customHeight="false" outlineLevel="0" collapsed="false">
      <c r="A12" s="11" t="s">
        <v>295</v>
      </c>
      <c r="B12" s="22"/>
      <c r="C12" s="22"/>
      <c r="D12" s="22"/>
      <c r="E12" s="21" t="n">
        <v>1</v>
      </c>
      <c r="F12" s="21" t="n">
        <v>1</v>
      </c>
      <c r="G12" s="22"/>
    </row>
    <row r="13" customFormat="false" ht="15" hidden="false" customHeight="false" outlineLevel="0" collapsed="false">
      <c r="A13" s="11" t="s">
        <v>296</v>
      </c>
      <c r="B13" s="22"/>
      <c r="C13" s="22"/>
      <c r="D13" s="22"/>
      <c r="E13" s="22"/>
      <c r="F13" s="21" t="n">
        <v>1</v>
      </c>
      <c r="G13" s="21" t="n">
        <v>1</v>
      </c>
    </row>
    <row r="14" customFormat="false" ht="15" hidden="false" customHeight="false" outlineLevel="0" collapsed="false">
      <c r="A14" s="11" t="s">
        <v>297</v>
      </c>
      <c r="B14" s="22"/>
      <c r="C14" s="22"/>
      <c r="D14" s="22"/>
      <c r="E14" s="22"/>
      <c r="F14" s="21" t="n">
        <v>1</v>
      </c>
      <c r="G14" s="21" t="n">
        <v>1</v>
      </c>
    </row>
    <row r="15" customFormat="false" ht="15" hidden="false" customHeight="false" outlineLevel="0" collapsed="false">
      <c r="A15" s="11" t="s">
        <v>298</v>
      </c>
      <c r="B15" s="21" t="n">
        <v>0.5</v>
      </c>
      <c r="C15" s="21" t="n">
        <v>0.5</v>
      </c>
      <c r="D15" s="21" t="n">
        <v>0.5</v>
      </c>
      <c r="E15" s="21" t="n">
        <v>0.5</v>
      </c>
      <c r="F15" s="21" t="n">
        <v>0.5</v>
      </c>
      <c r="G15" s="21" t="n">
        <v>0.5</v>
      </c>
    </row>
    <row r="16" customFormat="false" ht="15" hidden="false" customHeight="false" outlineLevel="0" collapsed="false">
      <c r="A16" s="12" t="s">
        <v>223</v>
      </c>
      <c r="B16" s="23" t="n">
        <f aca="false">SUM(B5:B15)</f>
        <v>3.75</v>
      </c>
      <c r="C16" s="23" t="n">
        <f aca="false">SUM(C5:C15)</f>
        <v>4</v>
      </c>
      <c r="D16" s="23" t="n">
        <f aca="false">SUM(D5:D15)</f>
        <v>3.75</v>
      </c>
      <c r="E16" s="23" t="n">
        <f aca="false">SUM(E5:E15)</f>
        <v>4</v>
      </c>
      <c r="F16" s="23" t="n">
        <f aca="false">SUM(F5:F15)</f>
        <v>4.5</v>
      </c>
      <c r="G16" s="23" t="n">
        <f aca="false">SUM(G5:G15)</f>
        <v>3.25</v>
      </c>
    </row>
    <row r="18" customFormat="false" ht="15" hidden="false" customHeight="false" outlineLevel="0" collapsed="false">
      <c r="A18" s="24" t="s">
        <v>299</v>
      </c>
    </row>
    <row r="19" customFormat="false" ht="15" hidden="false" customHeight="false" outlineLevel="0" collapsed="false">
      <c r="A19" s="24" t="s">
        <v>300</v>
      </c>
    </row>
    <row r="20" customFormat="false" ht="15" hidden="false" customHeight="false" outlineLevel="0" collapsed="false">
      <c r="A20" s="25" t="s">
        <v>301</v>
      </c>
    </row>
    <row r="21" customFormat="false" ht="15" hidden="false" customHeight="false" outlineLevel="0" collapsed="false">
      <c r="A21" s="3" t="s">
        <v>3</v>
      </c>
      <c r="B21" s="3" t="s">
        <v>282</v>
      </c>
      <c r="C21" s="3" t="s">
        <v>283</v>
      </c>
      <c r="D21" s="3" t="s">
        <v>284</v>
      </c>
      <c r="E21" s="3" t="s">
        <v>285</v>
      </c>
      <c r="F21" s="3" t="s">
        <v>286</v>
      </c>
      <c r="G21" s="3" t="s">
        <v>287</v>
      </c>
    </row>
    <row r="22" customFormat="false" ht="15" hidden="false" customHeight="false" outlineLevel="0" collapsed="false">
      <c r="A22" s="11" t="s">
        <v>302</v>
      </c>
      <c r="B22" s="26" t="n">
        <v>1</v>
      </c>
      <c r="C22" s="26" t="n">
        <v>1</v>
      </c>
      <c r="D22" s="26" t="n">
        <v>1</v>
      </c>
      <c r="E22" s="26" t="n">
        <v>1</v>
      </c>
      <c r="F22" s="26" t="n">
        <v>1</v>
      </c>
      <c r="G22" s="26" t="n">
        <v>1</v>
      </c>
    </row>
    <row r="23" customFormat="false" ht="15" hidden="false" customHeight="false" outlineLevel="0" collapsed="false">
      <c r="A23" s="11" t="s">
        <v>303</v>
      </c>
      <c r="B23" s="22"/>
      <c r="C23" s="26" t="n">
        <v>1</v>
      </c>
      <c r="D23" s="26" t="n">
        <v>1</v>
      </c>
      <c r="E23" s="26" t="n">
        <v>0.5</v>
      </c>
      <c r="F23" s="26" t="n">
        <v>0.5</v>
      </c>
      <c r="G23" s="22"/>
    </row>
    <row r="24" customFormat="false" ht="15" hidden="false" customHeight="false" outlineLevel="0" collapsed="false">
      <c r="A24" s="11" t="s">
        <v>304</v>
      </c>
      <c r="B24" s="26" t="n">
        <v>0.5</v>
      </c>
      <c r="C24" s="26" t="n">
        <v>0.5</v>
      </c>
      <c r="D24" s="22"/>
      <c r="E24" s="22"/>
      <c r="F24" s="22"/>
      <c r="G24" s="22"/>
    </row>
    <row r="25" customFormat="false" ht="15" hidden="false" customHeight="false" outlineLevel="0" collapsed="false">
      <c r="A25" s="11" t="s">
        <v>305</v>
      </c>
      <c r="B25" s="22"/>
      <c r="C25" s="22"/>
      <c r="D25" s="26" t="n">
        <v>0.5</v>
      </c>
      <c r="E25" s="22"/>
      <c r="F25" s="22"/>
      <c r="G25" s="22"/>
    </row>
    <row r="27" customFormat="false" ht="15" hidden="false" customHeight="false" outlineLevel="0" collapsed="false">
      <c r="A27" s="9" t="s">
        <v>306</v>
      </c>
    </row>
    <row r="28" customFormat="false" ht="15" hidden="false" customHeight="false" outlineLevel="0" collapsed="false">
      <c r="A28" s="9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8" t="s">
        <v>308</v>
      </c>
    </row>
    <row r="2" customFormat="false" ht="15" hidden="false" customHeight="false" outlineLevel="0" collapsed="false">
      <c r="A2" s="2" t="s">
        <v>309</v>
      </c>
    </row>
    <row r="4" customFormat="false" ht="15" hidden="false" customHeight="false" outlineLevel="0" collapsed="false">
      <c r="A4" s="16" t="s">
        <v>310</v>
      </c>
    </row>
    <row r="5" customFormat="false" ht="15" hidden="false" customHeight="false" outlineLevel="0" collapsed="false">
      <c r="A5" s="18"/>
      <c r="B5" s="18" t="s">
        <v>311</v>
      </c>
      <c r="C5" s="18" t="s">
        <v>312</v>
      </c>
      <c r="D5" s="18" t="s">
        <v>12</v>
      </c>
    </row>
    <row r="6" customFormat="false" ht="35.05" hidden="false" customHeight="false" outlineLevel="0" collapsed="false">
      <c r="A6" s="19" t="s">
        <v>313</v>
      </c>
      <c r="B6" s="19" t="s">
        <v>95</v>
      </c>
      <c r="C6" s="19" t="s">
        <v>142</v>
      </c>
      <c r="D6" s="19" t="s">
        <v>314</v>
      </c>
    </row>
    <row r="7" customFormat="false" ht="23.85" hidden="false" customHeight="false" outlineLevel="0" collapsed="false">
      <c r="A7" s="19" t="s">
        <v>315</v>
      </c>
      <c r="B7" s="19" t="s">
        <v>316</v>
      </c>
      <c r="C7" s="19" t="s">
        <v>317</v>
      </c>
      <c r="D7" s="19" t="s">
        <v>318</v>
      </c>
    </row>
    <row r="8" customFormat="false" ht="46.25" hidden="false" customHeight="false" outlineLevel="0" collapsed="false">
      <c r="A8" s="19" t="s">
        <v>319</v>
      </c>
      <c r="B8" s="19" t="s">
        <v>316</v>
      </c>
      <c r="C8" s="19" t="s">
        <v>317</v>
      </c>
      <c r="D8" s="19" t="s">
        <v>320</v>
      </c>
    </row>
    <row r="9" customFormat="false" ht="35.05" hidden="false" customHeight="false" outlineLevel="0" collapsed="false">
      <c r="A9" s="27" t="s">
        <v>321</v>
      </c>
      <c r="B9" s="27" t="s">
        <v>322</v>
      </c>
      <c r="C9" s="27" t="s">
        <v>323</v>
      </c>
      <c r="D9" s="27" t="s">
        <v>324</v>
      </c>
    </row>
    <row r="11" customFormat="false" ht="15" hidden="false" customHeight="false" outlineLevel="0" collapsed="false">
      <c r="A11" s="16" t="s">
        <v>325</v>
      </c>
    </row>
    <row r="12" customFormat="false" ht="15" hidden="false" customHeight="false" outlineLevel="0" collapsed="false">
      <c r="A12" s="18" t="s">
        <v>2</v>
      </c>
      <c r="B12" s="18" t="s">
        <v>3</v>
      </c>
      <c r="C12" s="18" t="s">
        <v>326</v>
      </c>
      <c r="D12" s="18" t="s">
        <v>327</v>
      </c>
      <c r="E12" s="18" t="s">
        <v>328</v>
      </c>
    </row>
    <row r="13" customFormat="false" ht="23.85" hidden="false" customHeight="false" outlineLevel="0" collapsed="false">
      <c r="A13" s="28" t="s">
        <v>329</v>
      </c>
      <c r="B13" s="19" t="s">
        <v>330</v>
      </c>
      <c r="C13" s="19" t="s">
        <v>331</v>
      </c>
      <c r="D13" s="19" t="s">
        <v>332</v>
      </c>
      <c r="E13" s="19" t="s">
        <v>333</v>
      </c>
    </row>
    <row r="14" customFormat="false" ht="35.05" hidden="false" customHeight="false" outlineLevel="0" collapsed="false">
      <c r="A14" s="28" t="s">
        <v>334</v>
      </c>
      <c r="B14" s="19" t="s">
        <v>335</v>
      </c>
      <c r="C14" s="19" t="s">
        <v>336</v>
      </c>
      <c r="D14" s="19" t="s">
        <v>337</v>
      </c>
      <c r="E14" s="19" t="s">
        <v>338</v>
      </c>
    </row>
    <row r="15" customFormat="false" ht="23.85" hidden="false" customHeight="false" outlineLevel="0" collapsed="false">
      <c r="A15" s="28" t="s">
        <v>339</v>
      </c>
      <c r="B15" s="19" t="s">
        <v>36</v>
      </c>
      <c r="C15" s="19" t="s">
        <v>340</v>
      </c>
      <c r="D15" s="19" t="s">
        <v>341</v>
      </c>
      <c r="E15" s="19" t="s">
        <v>342</v>
      </c>
    </row>
    <row r="17" customFormat="false" ht="15" hidden="false" customHeight="false" outlineLevel="0" collapsed="false">
      <c r="A17" s="29" t="s">
        <v>343</v>
      </c>
    </row>
    <row r="19" customFormat="false" ht="15" hidden="false" customHeight="false" outlineLevel="0" collapsed="false">
      <c r="A19" s="16" t="s">
        <v>344</v>
      </c>
    </row>
    <row r="20" customFormat="false" ht="15" hidden="false" customHeight="false" outlineLevel="0" collapsed="false">
      <c r="A20" s="18" t="s">
        <v>2</v>
      </c>
      <c r="B20" s="18" t="s">
        <v>345</v>
      </c>
      <c r="C20" s="18" t="s">
        <v>346</v>
      </c>
      <c r="D20" s="18" t="s">
        <v>347</v>
      </c>
      <c r="E20" s="18" t="s">
        <v>348</v>
      </c>
    </row>
    <row r="21" customFormat="false" ht="23.85" hidden="false" customHeight="false" outlineLevel="0" collapsed="false">
      <c r="A21" s="30" t="s">
        <v>349</v>
      </c>
      <c r="B21" s="19" t="s">
        <v>350</v>
      </c>
      <c r="C21" s="19" t="s">
        <v>351</v>
      </c>
      <c r="D21" s="19" t="s">
        <v>89</v>
      </c>
      <c r="E21" s="19" t="s">
        <v>352</v>
      </c>
    </row>
    <row r="22" customFormat="false" ht="23.85" hidden="false" customHeight="false" outlineLevel="0" collapsed="false">
      <c r="A22" s="30" t="s">
        <v>353</v>
      </c>
      <c r="B22" s="19" t="s">
        <v>354</v>
      </c>
      <c r="C22" s="19" t="s">
        <v>355</v>
      </c>
      <c r="D22" s="19" t="s">
        <v>356</v>
      </c>
      <c r="E22" s="19" t="s">
        <v>357</v>
      </c>
    </row>
    <row r="23" customFormat="false" ht="23.85" hidden="false" customHeight="false" outlineLevel="0" collapsed="false">
      <c r="A23" s="30" t="s">
        <v>358</v>
      </c>
      <c r="B23" s="19" t="s">
        <v>359</v>
      </c>
      <c r="C23" s="19" t="s">
        <v>360</v>
      </c>
      <c r="D23" s="19" t="s">
        <v>361</v>
      </c>
      <c r="E23" s="19" t="s">
        <v>362</v>
      </c>
    </row>
    <row r="24" customFormat="false" ht="23.85" hidden="false" customHeight="false" outlineLevel="0" collapsed="false">
      <c r="A24" s="30" t="s">
        <v>363</v>
      </c>
      <c r="B24" s="19" t="s">
        <v>132</v>
      </c>
      <c r="C24" s="19" t="s">
        <v>364</v>
      </c>
      <c r="D24" s="19" t="s">
        <v>365</v>
      </c>
      <c r="E24" s="19" t="s">
        <v>366</v>
      </c>
    </row>
    <row r="25" customFormat="false" ht="35.05" hidden="false" customHeight="false" outlineLevel="0" collapsed="false">
      <c r="A25" s="30" t="s">
        <v>367</v>
      </c>
      <c r="B25" s="19" t="s">
        <v>368</v>
      </c>
      <c r="C25" s="19" t="s">
        <v>369</v>
      </c>
      <c r="D25" s="19" t="s">
        <v>370</v>
      </c>
      <c r="E25" s="19" t="s">
        <v>371</v>
      </c>
    </row>
    <row r="26" customFormat="false" ht="23.85" hidden="false" customHeight="false" outlineLevel="0" collapsed="false">
      <c r="A26" s="30" t="s">
        <v>372</v>
      </c>
      <c r="B26" s="19" t="s">
        <v>373</v>
      </c>
      <c r="C26" s="19" t="s">
        <v>374</v>
      </c>
      <c r="D26" s="19" t="s">
        <v>375</v>
      </c>
      <c r="E26" s="19" t="s">
        <v>376</v>
      </c>
    </row>
    <row r="28" customFormat="false" ht="15" hidden="false" customHeight="false" outlineLevel="0" collapsed="false">
      <c r="A28" s="12" t="s">
        <v>377</v>
      </c>
    </row>
    <row r="29" customFormat="false" ht="126.85" hidden="false" customHeight="false" outlineLevel="0" collapsed="false">
      <c r="A29" s="31" t="s">
        <v>378</v>
      </c>
    </row>
    <row r="30" customFormat="false" ht="95.5" hidden="false" customHeight="false" outlineLevel="0" collapsed="false">
      <c r="A30" s="31" t="s">
        <v>379</v>
      </c>
    </row>
    <row r="31" customFormat="false" ht="95.5" hidden="false" customHeight="false" outlineLevel="0" collapsed="false">
      <c r="A31" s="31" t="s">
        <v>380</v>
      </c>
    </row>
    <row r="32" customFormat="false" ht="74.6" hidden="false" customHeight="false" outlineLevel="0" collapsed="false">
      <c r="A32" s="31" t="s">
        <v>381</v>
      </c>
    </row>
    <row r="33" customFormat="false" ht="74.6" hidden="false" customHeight="false" outlineLevel="0" collapsed="false">
      <c r="A33" s="31" t="s">
        <v>382</v>
      </c>
    </row>
    <row r="34" customFormat="false" ht="74.6" hidden="false" customHeight="false" outlineLevel="0" collapsed="false">
      <c r="A34" s="31" t="s">
        <v>383</v>
      </c>
    </row>
    <row r="35" customFormat="false" ht="85.05" hidden="false" customHeight="false" outlineLevel="0" collapsed="false">
      <c r="A35" s="31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46"/>
    <col collapsed="false" customWidth="true" hidden="false" outlineLevel="0" max="5" min="5" style="0" width="24"/>
  </cols>
  <sheetData>
    <row r="1" customFormat="false" ht="16.15" hidden="false" customHeight="false" outlineLevel="0" collapsed="false">
      <c r="A1" s="8" t="s">
        <v>385</v>
      </c>
    </row>
    <row r="2" customFormat="false" ht="15" hidden="false" customHeight="false" outlineLevel="0" collapsed="false">
      <c r="A2" s="2" t="s">
        <v>386</v>
      </c>
    </row>
    <row r="4" customFormat="false" ht="15" hidden="false" customHeight="false" outlineLevel="0" collapsed="false">
      <c r="A4" s="3" t="s">
        <v>387</v>
      </c>
      <c r="B4" s="3" t="s">
        <v>388</v>
      </c>
      <c r="C4" s="3" t="s">
        <v>389</v>
      </c>
      <c r="D4" s="3" t="s">
        <v>390</v>
      </c>
      <c r="E4" s="3" t="s">
        <v>391</v>
      </c>
    </row>
    <row r="5" customFormat="false" ht="32.8" hidden="false" customHeight="false" outlineLevel="0" collapsed="false">
      <c r="A5" s="32" t="s">
        <v>392</v>
      </c>
      <c r="B5" s="6" t="s">
        <v>393</v>
      </c>
      <c r="C5" s="4" t="s">
        <v>394</v>
      </c>
      <c r="D5" s="4" t="s">
        <v>395</v>
      </c>
      <c r="E5" s="4" t="s">
        <v>396</v>
      </c>
    </row>
    <row r="6" customFormat="false" ht="43.25" hidden="false" customHeight="false" outlineLevel="0" collapsed="false">
      <c r="A6" s="32" t="s">
        <v>397</v>
      </c>
      <c r="B6" s="6" t="s">
        <v>398</v>
      </c>
      <c r="C6" s="4" t="s">
        <v>399</v>
      </c>
      <c r="D6" s="4" t="s">
        <v>400</v>
      </c>
      <c r="E6" s="4" t="s">
        <v>401</v>
      </c>
    </row>
    <row r="7" customFormat="false" ht="32.8" hidden="false" customHeight="false" outlineLevel="0" collapsed="false">
      <c r="A7" s="32" t="s">
        <v>402</v>
      </c>
      <c r="B7" s="6" t="s">
        <v>403</v>
      </c>
      <c r="C7" s="4" t="s">
        <v>404</v>
      </c>
      <c r="D7" s="4" t="s">
        <v>405</v>
      </c>
      <c r="E7" s="4" t="s">
        <v>406</v>
      </c>
    </row>
    <row r="8" customFormat="false" ht="32.8" hidden="false" customHeight="false" outlineLevel="0" collapsed="false">
      <c r="A8" s="32" t="s">
        <v>407</v>
      </c>
      <c r="B8" s="6" t="s">
        <v>408</v>
      </c>
      <c r="C8" s="4" t="s">
        <v>409</v>
      </c>
      <c r="D8" s="4" t="s">
        <v>410</v>
      </c>
      <c r="E8" s="4" t="s">
        <v>411</v>
      </c>
    </row>
    <row r="9" customFormat="false" ht="32.8" hidden="false" customHeight="false" outlineLevel="0" collapsed="false">
      <c r="A9" s="32" t="s">
        <v>412</v>
      </c>
      <c r="B9" s="6" t="s">
        <v>413</v>
      </c>
      <c r="C9" s="4" t="s">
        <v>414</v>
      </c>
      <c r="D9" s="4" t="s">
        <v>415</v>
      </c>
      <c r="E9" s="4" t="s">
        <v>416</v>
      </c>
    </row>
    <row r="10" customFormat="false" ht="32.8" hidden="false" customHeight="false" outlineLevel="0" collapsed="false">
      <c r="A10" s="32" t="s">
        <v>417</v>
      </c>
      <c r="B10" s="6" t="s">
        <v>418</v>
      </c>
      <c r="C10" s="4" t="s">
        <v>419</v>
      </c>
      <c r="D10" s="4" t="s">
        <v>420</v>
      </c>
      <c r="E10" s="4" t="s">
        <v>421</v>
      </c>
    </row>
    <row r="11" customFormat="false" ht="32.8" hidden="false" customHeight="false" outlineLevel="0" collapsed="false">
      <c r="A11" s="32" t="s">
        <v>422</v>
      </c>
      <c r="B11" s="6" t="s">
        <v>423</v>
      </c>
      <c r="C11" s="4" t="s">
        <v>424</v>
      </c>
      <c r="D11" s="4" t="s">
        <v>425</v>
      </c>
      <c r="E11" s="4" t="s">
        <v>426</v>
      </c>
    </row>
    <row r="12" customFormat="false" ht="43.25" hidden="false" customHeight="false" outlineLevel="0" collapsed="false">
      <c r="A12" s="32" t="s">
        <v>427</v>
      </c>
      <c r="B12" s="6" t="s">
        <v>428</v>
      </c>
      <c r="C12" s="4" t="s">
        <v>429</v>
      </c>
      <c r="D12" s="4" t="s">
        <v>430</v>
      </c>
      <c r="E12" s="4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2026-06-06T19:03:38Z</dcterms:created>
  <dc:creator>openpyxl</dc:creator>
  <dc:description/>
  <dc:language>en-US</dc:language>
  <cp:lastModifiedBy/>
  <dcterms:modified xsi:type="dcterms:W3CDTF">2026-06-06T19:03:38Z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